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>
    <definedName name="_xlnm._FilterDatabase" localSheetId="0" hidden="1">'Лист1'!$A$1:$V$67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4" customWidth="1" min="2" max="2"/>
    <col width="42" customWidth="1" min="3" max="3"/>
    <col width="42" customWidth="1" min="4" max="4"/>
    <col width="22" customWidth="1" min="5" max="5"/>
    <col width="16" customWidth="1" min="6" max="6"/>
    <col width="7" customWidth="1" min="7" max="7"/>
    <col width="24" customWidth="1" min="8" max="8"/>
    <col width="5" customWidth="1" min="9" max="9"/>
    <col width="9" customWidth="1" min="10" max="10"/>
    <col width="9" customWidth="1" min="11" max="11"/>
    <col width="9" customWidth="1" min="12" max="12"/>
    <col width="21" customWidth="1" min="13" max="13"/>
    <col width="33" customWidth="1" min="14" max="14"/>
    <col width="18" customWidth="1" min="15" max="15"/>
    <col width="24" customWidth="1" min="16" max="16"/>
    <col width="42" customWidth="1" min="17" max="17"/>
    <col width="20" customWidth="1" min="18" max="18"/>
    <col width="42" customWidth="1" min="19" max="19"/>
    <col width="42" customWidth="1" min="20" max="20"/>
    <col width="8" customWidth="1" min="21" max="21"/>
    <col width="21" customWidth="1" min="22" max="22"/>
  </cols>
  <sheetData>
    <row r="1">
      <c r="A1" s="1" t="inlineStr">
        <is>
          <t>ИНН</t>
        </is>
      </c>
      <c r="B1" s="1" t="inlineStr">
        <is>
          <t>КПП</t>
        </is>
      </c>
      <c r="C1" s="1" t="inlineStr">
        <is>
          <t>Название организации</t>
        </is>
      </c>
      <c r="D1" s="1" t="inlineStr">
        <is>
          <t>Имя файла</t>
        </is>
      </c>
      <c r="E1" s="1" t="inlineStr">
        <is>
          <t>Номер документа</t>
        </is>
      </c>
      <c r="F1" s="1" t="inlineStr">
        <is>
          <t>Дата документа</t>
        </is>
      </c>
      <c r="G1" s="1" t="inlineStr">
        <is>
          <t>Всего</t>
        </is>
      </c>
      <c r="H1" s="1" t="inlineStr">
        <is>
          <t>Валюта</t>
        </is>
      </c>
      <c r="I1" s="1" t="inlineStr">
        <is>
          <t>НДС</t>
        </is>
      </c>
      <c r="J1" s="1" t="inlineStr">
        <is>
          <t>НДС 10%</t>
        </is>
      </c>
      <c r="K1" s="1" t="inlineStr">
        <is>
          <t>НДС 18%</t>
        </is>
      </c>
      <c r="L1" s="1" t="inlineStr">
        <is>
          <t>НДС 20%</t>
        </is>
      </c>
      <c r="M1" s="1" t="inlineStr">
        <is>
          <t>Дата доставки</t>
        </is>
      </c>
      <c r="N1" s="1" t="inlineStr">
        <is>
          <t>Статус документа</t>
        </is>
      </c>
      <c r="O1" s="1" t="inlineStr">
        <is>
          <t>Дата тарификации</t>
        </is>
      </c>
      <c r="P1" s="1" t="inlineStr">
        <is>
          <t>Дата изменения статуса</t>
        </is>
      </c>
      <c r="Q1" s="1" t="inlineStr">
        <is>
          <t>Подразделение</t>
        </is>
      </c>
      <c r="R1" s="1" t="inlineStr">
        <is>
          <t>ФИО ответственного</t>
        </is>
      </c>
      <c r="S1" s="1" t="inlineStr">
        <is>
          <t>Комментарий</t>
        </is>
      </c>
      <c r="T1" s="1" t="inlineStr">
        <is>
          <t>Ссылка</t>
        </is>
      </c>
      <c r="U1" s="1" t="inlineStr">
        <is>
          <t>Удален</t>
        </is>
      </c>
      <c r="V1" s="1" t="inlineStr">
        <is>
          <t>СвПолДок ИдУчастЭДО</t>
        </is>
      </c>
    </row>
    <row r="2">
      <c r="A2">
        <f>"7736632467"</f>
        <v/>
      </c>
      <c r="B2">
        <f>"997750001"</f>
        <v/>
      </c>
      <c r="C2" t="inlineStr">
        <is>
          <t>АО "СБЕРТЕХ"</t>
        </is>
      </c>
      <c r="D2" t="inlineStr">
        <is>
          <t>Доп. соглашение №LBO-LE-7736632467 от 20.04.26</t>
        </is>
      </c>
      <c r="E2">
        <f>"LBO-LE-7736632467"</f>
        <v/>
      </c>
      <c r="F2" t="inlineStr">
        <is>
          <t>20.04.2026</t>
        </is>
      </c>
      <c r="G2" t="inlineStr"/>
      <c r="H2" t="inlineStr">
        <is>
          <t>RUB - Российский рубль</t>
        </is>
      </c>
      <c r="I2" t="inlineStr"/>
      <c r="J2" t="inlineStr"/>
      <c r="K2" t="inlineStr"/>
      <c r="L2" t="inlineStr"/>
      <c r="M2" t="inlineStr">
        <is>
          <t>20.04.2026 18:04:08</t>
        </is>
      </c>
      <c r="N2" t="inlineStr">
        <is>
          <t>Ожидается промежуточная подпись</t>
        </is>
      </c>
      <c r="O2" t="inlineStr"/>
      <c r="P2" t="inlineStr">
        <is>
          <t>20.04.2026 18:04:08</t>
        </is>
      </c>
      <c r="Q2" t="inlineStr">
        <is>
          <t xml:space="preserve">Головное подразделение -&gt; BizDev (А. Данилина) </t>
        </is>
      </c>
      <c r="R2" t="inlineStr"/>
      <c r="S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" t="inlineStr">
        <is>
          <t>https://diadoc.kontur.ru/4100c1d3-2464-4c71-95cc-21ba90d0c907/Document/Show?letterId=4fd9ee60-3947-421f-8876-65edea091dd6&amp;documentId=c93d7b57-ec70-40ba-852e-51726fb7013d</t>
        </is>
      </c>
      <c r="U2" t="inlineStr"/>
      <c r="V2" t="inlineStr">
        <is>
          <t>2BM-7736632467-772601001-201411071245070209468</t>
        </is>
      </c>
    </row>
    <row r="3">
      <c r="A3">
        <f>"9705124940"</f>
        <v/>
      </c>
      <c r="B3">
        <f>"773601001"</f>
        <v/>
      </c>
      <c r="C3" t="inlineStr">
        <is>
          <t>ООО "СБЕР ЛИГАЛ"</t>
        </is>
      </c>
      <c r="D3" t="inlineStr">
        <is>
          <t>Доп. соглашение №LBO-LE-9705124940 от 21.04.26</t>
        </is>
      </c>
      <c r="E3">
        <f>"LBO-LE-9705124940"</f>
        <v/>
      </c>
      <c r="F3" t="inlineStr">
        <is>
          <t>21.04.2026</t>
        </is>
      </c>
      <c r="G3" t="inlineStr"/>
      <c r="H3" t="inlineStr">
        <is>
          <t>RUB - Российский рубль</t>
        </is>
      </c>
      <c r="I3" t="inlineStr"/>
      <c r="J3" t="inlineStr"/>
      <c r="K3" t="inlineStr"/>
      <c r="L3" t="inlineStr"/>
      <c r="M3" t="inlineStr">
        <is>
          <t>21.04.2026 18:03:03</t>
        </is>
      </c>
      <c r="N3" t="inlineStr">
        <is>
          <t>Ожидается промежуточная подпись</t>
        </is>
      </c>
      <c r="O3" t="inlineStr"/>
      <c r="P3" t="inlineStr">
        <is>
          <t>21.04.2026 18:03:03</t>
        </is>
      </c>
      <c r="Q3" t="inlineStr">
        <is>
          <t xml:space="preserve">Головное подразделение -&gt; BizDev (А. Данилина) </t>
        </is>
      </c>
      <c r="R3" t="inlineStr"/>
      <c r="S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" t="inlineStr">
        <is>
          <t>https://diadoc.kontur.ru/4100c1d3-2464-4c71-95cc-21ba90d0c907/Document/Show?letterId=d9678593-5fe8-45ce-9ebb-671ce2ae2b67&amp;documentId=7c63b886-3d88-4244-b460-955191f0fa6a</t>
        </is>
      </c>
      <c r="U3" t="inlineStr"/>
      <c r="V3" t="inlineStr">
        <is>
          <t>2BM-9705124940-770501001-201902010233255673854</t>
        </is>
      </c>
    </row>
    <row r="4">
      <c r="A4">
        <f>"7730335860"</f>
        <v/>
      </c>
      <c r="B4">
        <f>"770601001"</f>
        <v/>
      </c>
      <c r="C4" t="inlineStr">
        <is>
          <t>АО "ЦИФРОВОЙ СЕМЕЙНЫЙ ОФИС"</t>
        </is>
      </c>
      <c r="D4" t="inlineStr">
        <is>
          <t>Доп. соглашение №LBO-LE-7730335860 от 21.04.26</t>
        </is>
      </c>
      <c r="E4">
        <f>"LBO-LE-7730335860"</f>
        <v/>
      </c>
      <c r="F4" t="inlineStr">
        <is>
          <t>21.04.2026</t>
        </is>
      </c>
      <c r="G4" t="inlineStr"/>
      <c r="H4" t="inlineStr">
        <is>
          <t>RUB - Российский рубль</t>
        </is>
      </c>
      <c r="I4" t="inlineStr"/>
      <c r="J4" t="inlineStr"/>
      <c r="K4" t="inlineStr"/>
      <c r="L4" t="inlineStr"/>
      <c r="M4" t="inlineStr">
        <is>
          <t>21.04.2026 18:03:03</t>
        </is>
      </c>
      <c r="N4" t="inlineStr">
        <is>
          <t>Ожидается промежуточная подпись</t>
        </is>
      </c>
      <c r="O4" t="inlineStr"/>
      <c r="P4" t="inlineStr">
        <is>
          <t>21.04.2026 18:03:03</t>
        </is>
      </c>
      <c r="Q4" t="inlineStr">
        <is>
          <t xml:space="preserve">Головное подразделение -&gt; BizDev (А. Данилина) </t>
        </is>
      </c>
      <c r="R4" t="inlineStr"/>
      <c r="S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" t="inlineStr">
        <is>
          <t>https://diadoc.kontur.ru/4100c1d3-2464-4c71-95cc-21ba90d0c907/Document/Show?letterId=67f04bcf-6bba-4542-af6b-78070329fef7&amp;documentId=10745677-ce18-4c19-812f-31aaff61026a</t>
        </is>
      </c>
      <c r="U4" t="inlineStr"/>
      <c r="V4" t="inlineStr">
        <is>
          <t>2BM-7730335860-773001001-202503200138347929328</t>
        </is>
      </c>
    </row>
    <row r="5">
      <c r="A5">
        <f>"7714843760"</f>
        <v/>
      </c>
      <c r="B5">
        <f>"771001001"</f>
        <v/>
      </c>
      <c r="C5" t="inlineStr">
        <is>
          <t>ООО "Инсейлс Рус"</t>
        </is>
      </c>
      <c r="D5" t="inlineStr">
        <is>
          <t>Доп. соглашение №LBO-LE-7714843760 от 21.04.26</t>
        </is>
      </c>
      <c r="E5">
        <f>"LBO-LE-7714843760"</f>
        <v/>
      </c>
      <c r="F5" t="inlineStr">
        <is>
          <t>21.04.2026</t>
        </is>
      </c>
      <c r="G5" t="inlineStr"/>
      <c r="H5" t="inlineStr">
        <is>
          <t>RUB - Российский рубль</t>
        </is>
      </c>
      <c r="I5" t="inlineStr"/>
      <c r="J5" t="inlineStr"/>
      <c r="K5" t="inlineStr"/>
      <c r="L5" t="inlineStr"/>
      <c r="M5" t="inlineStr">
        <is>
          <t>21.04.2026 18:03:03</t>
        </is>
      </c>
      <c r="N5" t="inlineStr">
        <is>
          <t>Ожидается промежуточная подпись</t>
        </is>
      </c>
      <c r="O5" t="inlineStr"/>
      <c r="P5" t="inlineStr">
        <is>
          <t>21.04.2026 18:03:03</t>
        </is>
      </c>
      <c r="Q5" t="inlineStr">
        <is>
          <t xml:space="preserve">Головное подразделение -&gt; BizDev (А. Данилина) </t>
        </is>
      </c>
      <c r="R5" t="inlineStr"/>
      <c r="S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" t="inlineStr">
        <is>
          <t>https://diadoc.kontur.ru/4100c1d3-2464-4c71-95cc-21ba90d0c907/Document/Show?letterId=c545483d-b84c-4379-9654-e90362ab9dd3&amp;documentId=51e09292-11ff-4bbf-a70e-1a5f692893c7</t>
        </is>
      </c>
      <c r="U5" t="inlineStr"/>
      <c r="V5" t="inlineStr">
        <is>
          <t>2BM-7714843760-771401001-201407070405496642694</t>
        </is>
      </c>
    </row>
    <row r="6">
      <c r="A6">
        <f>"7743001840"</f>
        <v/>
      </c>
      <c r="B6">
        <f>"997750001"</f>
        <v/>
      </c>
      <c r="C6" t="inlineStr">
        <is>
          <t>ООО "ВК"</t>
        </is>
      </c>
      <c r="D6" t="inlineStr">
        <is>
          <t>Доп. соглашение №LBO-LE-7743001840 от 21.04.26</t>
        </is>
      </c>
      <c r="E6">
        <f>"LBO-LE-7743001840"</f>
        <v/>
      </c>
      <c r="F6" t="inlineStr">
        <is>
          <t>21.04.2026</t>
        </is>
      </c>
      <c r="G6" t="inlineStr"/>
      <c r="H6" t="inlineStr">
        <is>
          <t>RUB - Российский рубль</t>
        </is>
      </c>
      <c r="I6" t="inlineStr"/>
      <c r="J6" t="inlineStr"/>
      <c r="K6" t="inlineStr"/>
      <c r="L6" t="inlineStr"/>
      <c r="M6" t="inlineStr">
        <is>
          <t>21.04.2026 18:03:03</t>
        </is>
      </c>
      <c r="N6" t="inlineStr">
        <is>
          <t>Ожидается промежуточная подпись</t>
        </is>
      </c>
      <c r="O6" t="inlineStr"/>
      <c r="P6" t="inlineStr">
        <is>
          <t>21.04.2026 18:03:03</t>
        </is>
      </c>
      <c r="Q6" t="inlineStr">
        <is>
          <t xml:space="preserve">Головное подразделение -&gt; BizDev (А. Данилина) </t>
        </is>
      </c>
      <c r="R6" t="inlineStr"/>
      <c r="S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" t="inlineStr">
        <is>
          <t>https://diadoc.kontur.ru/4100c1d3-2464-4c71-95cc-21ba90d0c907/Document/Show?letterId=464a0ef3-a676-4b2a-aafc-f4b9f5dda61c&amp;documentId=f36e3345-bdef-4c80-8dad-5b647cf49358</t>
        </is>
      </c>
      <c r="U6" t="inlineStr"/>
      <c r="V6" t="inlineStr">
        <is>
          <t>2BM-7743001840-2012052807514600749280000000000</t>
        </is>
      </c>
    </row>
    <row r="7">
      <c r="A7">
        <f>"9731053950"</f>
        <v/>
      </c>
      <c r="B7">
        <f>"772501001"</f>
        <v/>
      </c>
      <c r="C7" t="inlineStr">
        <is>
          <t>ООО "СБЕР РЕШЕНИЯ"</t>
        </is>
      </c>
      <c r="D7" t="inlineStr">
        <is>
          <t>Доп. соглашение №LBO-LE-9731053950 от 21.04.26</t>
        </is>
      </c>
      <c r="E7">
        <f>"LBO-LE-9731053950"</f>
        <v/>
      </c>
      <c r="F7" t="inlineStr">
        <is>
          <t>21.04.2026</t>
        </is>
      </c>
      <c r="G7" t="inlineStr"/>
      <c r="H7" t="inlineStr">
        <is>
          <t>RUB - Российский рубль</t>
        </is>
      </c>
      <c r="I7" t="inlineStr"/>
      <c r="J7" t="inlineStr"/>
      <c r="K7" t="inlineStr"/>
      <c r="L7" t="inlineStr"/>
      <c r="M7" t="inlineStr">
        <is>
          <t>21.04.2026 18:03:03</t>
        </is>
      </c>
      <c r="N7" t="inlineStr">
        <is>
          <t>Ожидается промежуточная подпись</t>
        </is>
      </c>
      <c r="O7" t="inlineStr"/>
      <c r="P7" t="inlineStr">
        <is>
          <t>21.04.2026 18:03:03</t>
        </is>
      </c>
      <c r="Q7" t="inlineStr">
        <is>
          <t xml:space="preserve">Головное подразделение -&gt; BizDev (А. Данилина) </t>
        </is>
      </c>
      <c r="R7" t="inlineStr"/>
      <c r="S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7" t="inlineStr">
        <is>
          <t>https://diadoc.kontur.ru/4100c1d3-2464-4c71-95cc-21ba90d0c907/Document/Show?letterId=d96ef8b1-de67-4271-9600-2c084e39998f&amp;documentId=f4267f25-05be-424a-ba9a-b54aa3a14b17</t>
        </is>
      </c>
      <c r="U7" t="inlineStr"/>
      <c r="V7" t="inlineStr">
        <is>
          <t>2BM-9731053950-773101001-202004010137003804688</t>
        </is>
      </c>
    </row>
    <row r="8">
      <c r="A8">
        <f>"7714700709"</f>
        <v/>
      </c>
      <c r="B8">
        <f>"771401001"</f>
        <v/>
      </c>
      <c r="C8" t="inlineStr">
        <is>
          <t>ООО "БОРИСХОФ ХОЛДИНГ"</t>
        </is>
      </c>
      <c r="D8" t="inlineStr">
        <is>
          <t>Доп. соглашение №LBO-LE-7714700709 от 21.04.26</t>
        </is>
      </c>
      <c r="E8">
        <f>"LBO-LE-7714700709"</f>
        <v/>
      </c>
      <c r="F8" t="inlineStr">
        <is>
          <t>21.04.2026</t>
        </is>
      </c>
      <c r="G8" t="inlineStr"/>
      <c r="H8" t="inlineStr">
        <is>
          <t>RUB - Российский рубль</t>
        </is>
      </c>
      <c r="I8" t="inlineStr"/>
      <c r="J8" t="inlineStr"/>
      <c r="K8" t="inlineStr"/>
      <c r="L8" t="inlineStr"/>
      <c r="M8" t="inlineStr">
        <is>
          <t>21.04.2026 18:03:03</t>
        </is>
      </c>
      <c r="N8" t="inlineStr">
        <is>
          <t>Ожидается промежуточная подпись</t>
        </is>
      </c>
      <c r="O8" t="inlineStr"/>
      <c r="P8" t="inlineStr">
        <is>
          <t>21.04.2026 18:03:03</t>
        </is>
      </c>
      <c r="Q8" t="inlineStr">
        <is>
          <t xml:space="preserve">Головное подразделение -&gt; BizDev (А. Данилина) </t>
        </is>
      </c>
      <c r="R8" t="inlineStr"/>
      <c r="S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8" t="inlineStr">
        <is>
          <t>https://diadoc.kontur.ru/4100c1d3-2464-4c71-95cc-21ba90d0c907/Document/Show?letterId=c580ed5c-578b-49c9-aec6-b889991efed0&amp;documentId=c4dd8965-f073-4088-80ff-e7f1c44d440b</t>
        </is>
      </c>
      <c r="U8" t="inlineStr"/>
      <c r="V8" t="inlineStr">
        <is>
          <t>2BM-7714700709-771401001-201412030938541730816</t>
        </is>
      </c>
    </row>
    <row r="9">
      <c r="A9">
        <f>"7707009586"</f>
        <v/>
      </c>
      <c r="B9">
        <f>"503201001"</f>
        <v/>
      </c>
      <c r="C9" t="inlineStr">
        <is>
          <t>АО "Сбербанк Лизинг"</t>
        </is>
      </c>
      <c r="D9" t="inlineStr">
        <is>
          <t>Доп. соглашение №LBO-LE-7707009586 от 21.04.26</t>
        </is>
      </c>
      <c r="E9">
        <f>"LBO-LE-7707009586"</f>
        <v/>
      </c>
      <c r="F9" t="inlineStr">
        <is>
          <t>21.04.2026</t>
        </is>
      </c>
      <c r="G9" t="inlineStr"/>
      <c r="H9" t="inlineStr">
        <is>
          <t>RUB - Российский рубль</t>
        </is>
      </c>
      <c r="I9" t="inlineStr"/>
      <c r="J9" t="inlineStr"/>
      <c r="K9" t="inlineStr"/>
      <c r="L9" t="inlineStr"/>
      <c r="M9" t="inlineStr">
        <is>
          <t>21.04.2026 18:03:03</t>
        </is>
      </c>
      <c r="N9" t="inlineStr">
        <is>
          <t>Ожидается промежуточная подпись</t>
        </is>
      </c>
      <c r="O9" t="inlineStr"/>
      <c r="P9" t="inlineStr">
        <is>
          <t>21.04.2026 18:03:03</t>
        </is>
      </c>
      <c r="Q9" t="inlineStr">
        <is>
          <t xml:space="preserve">Головное подразделение -&gt; BizDev (А. Данилина) </t>
        </is>
      </c>
      <c r="R9" t="inlineStr"/>
      <c r="S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9" t="inlineStr">
        <is>
          <t>https://diadoc.kontur.ru/4100c1d3-2464-4c71-95cc-21ba90d0c907/Document/Show?letterId=09584062-9f8f-4f2f-928f-8b31b20ef403&amp;documentId=db39c0b2-0943-44cb-9080-f4477d9055c0</t>
        </is>
      </c>
      <c r="U9" t="inlineStr"/>
      <c r="V9" t="inlineStr">
        <is>
          <t>2BM-7707009586-2013012408391209283140000000000</t>
        </is>
      </c>
    </row>
    <row r="10">
      <c r="A10">
        <f>"6165125468"</f>
        <v/>
      </c>
      <c r="B10">
        <f>"616101001"</f>
        <v/>
      </c>
      <c r="C10" t="inlineStr">
        <is>
          <t>ООО "Проф ИТ"</t>
        </is>
      </c>
      <c r="D10" t="inlineStr">
        <is>
          <t>Доп. соглашение №LBO-LE-6165125468 от 21.04.26</t>
        </is>
      </c>
      <c r="E10">
        <f>"LBO-LE-6165125468"</f>
        <v/>
      </c>
      <c r="F10" t="inlineStr">
        <is>
          <t>21.04.2026</t>
        </is>
      </c>
      <c r="G10" t="inlineStr"/>
      <c r="H10" t="inlineStr">
        <is>
          <t>RUB - Российский рубль</t>
        </is>
      </c>
      <c r="I10" t="inlineStr"/>
      <c r="J10" t="inlineStr"/>
      <c r="K10" t="inlineStr"/>
      <c r="L10" t="inlineStr"/>
      <c r="M10" t="inlineStr">
        <is>
          <t>21.04.2026 18:03:03</t>
        </is>
      </c>
      <c r="N10" t="inlineStr">
        <is>
          <t>Ожидается промежуточная подпись</t>
        </is>
      </c>
      <c r="O10" t="inlineStr"/>
      <c r="P10" t="inlineStr">
        <is>
          <t>21.04.2026 18:03:03</t>
        </is>
      </c>
      <c r="Q10" t="inlineStr">
        <is>
          <t xml:space="preserve">Головное подразделение -&gt; BizDev (А. Данилина) </t>
        </is>
      </c>
      <c r="R10" t="inlineStr"/>
      <c r="S1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0" t="inlineStr">
        <is>
          <t>https://diadoc.kontur.ru/4100c1d3-2464-4c71-95cc-21ba90d0c907/Document/Show?letterId=779d1b88-a67b-4cac-a33d-ea1030334d0d&amp;documentId=21dff247-a03e-468f-a3e4-e76e10574333</t>
        </is>
      </c>
      <c r="U10" t="inlineStr"/>
      <c r="V10" t="inlineStr">
        <is>
          <t>2BM-6165125468-2013022203464769820750000000000</t>
        </is>
      </c>
    </row>
    <row r="11">
      <c r="A11">
        <f>"7704386240"</f>
        <v/>
      </c>
      <c r="B11">
        <f>"772601001"</f>
        <v/>
      </c>
      <c r="C11" t="inlineStr">
        <is>
          <t>ООО "АЛГОРИТМИКА"</t>
        </is>
      </c>
      <c r="D11" t="inlineStr">
        <is>
          <t>Доп. соглашение №LBO-LE-7704386240 от 21.04.26</t>
        </is>
      </c>
      <c r="E11">
        <f>"LBO-LE-7704386240"</f>
        <v/>
      </c>
      <c r="F11" t="inlineStr">
        <is>
          <t>21.04.2026</t>
        </is>
      </c>
      <c r="G11" t="inlineStr"/>
      <c r="H11" t="inlineStr">
        <is>
          <t>RUB - Российский рубль</t>
        </is>
      </c>
      <c r="I11" t="inlineStr"/>
      <c r="J11" t="inlineStr"/>
      <c r="K11" t="inlineStr"/>
      <c r="L11" t="inlineStr"/>
      <c r="M11" t="inlineStr">
        <is>
          <t>21.04.2026 18:03:03</t>
        </is>
      </c>
      <c r="N11" t="inlineStr">
        <is>
          <t>Ожидается промежуточная подпись</t>
        </is>
      </c>
      <c r="O11" t="inlineStr"/>
      <c r="P11" t="inlineStr">
        <is>
          <t>21.04.2026 18:03:03</t>
        </is>
      </c>
      <c r="Q11" t="inlineStr">
        <is>
          <t xml:space="preserve">Головное подразделение -&gt; BizDev (А. Данилина) </t>
        </is>
      </c>
      <c r="R11" t="inlineStr"/>
      <c r="S1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1" t="inlineStr">
        <is>
          <t>https://diadoc.kontur.ru/4100c1d3-2464-4c71-95cc-21ba90d0c907/Document/Show?letterId=b20505c0-38fc-40ec-8430-9b96d1188c2f&amp;documentId=15d9d41c-f0fe-4f0c-9dee-5500a277953d</t>
        </is>
      </c>
      <c r="U11" t="inlineStr"/>
      <c r="V11" t="inlineStr">
        <is>
          <t>2BM-7704386240-770401001-201703311232197576430</t>
        </is>
      </c>
    </row>
    <row r="12">
      <c r="A12">
        <f>"7714037217"</f>
        <v/>
      </c>
      <c r="B12">
        <f>"771501001"</f>
        <v/>
      </c>
      <c r="C12" t="inlineStr">
        <is>
          <t>АО "ИД "КОМСОМОЛЬСКАЯ ПРАВДА"</t>
        </is>
      </c>
      <c r="D12" t="inlineStr">
        <is>
          <t>Доп. соглашение №LBO-LE-7714037217 от 21.04.26</t>
        </is>
      </c>
      <c r="E12">
        <f>"LBO-LE-7714037217"</f>
        <v/>
      </c>
      <c r="F12" t="inlineStr">
        <is>
          <t>21.04.2026</t>
        </is>
      </c>
      <c r="G12" t="inlineStr"/>
      <c r="H12" t="inlineStr">
        <is>
          <t>RUB - Российский рубль</t>
        </is>
      </c>
      <c r="I12" t="inlineStr"/>
      <c r="J12" t="inlineStr"/>
      <c r="K12" t="inlineStr"/>
      <c r="L12" t="inlineStr"/>
      <c r="M12" t="inlineStr">
        <is>
          <t>21.04.2026 18:03:03</t>
        </is>
      </c>
      <c r="N12" t="inlineStr">
        <is>
          <t>Ожидается промежуточная подпись</t>
        </is>
      </c>
      <c r="O12" t="inlineStr"/>
      <c r="P12" t="inlineStr">
        <is>
          <t>21.04.2026 18:03:03</t>
        </is>
      </c>
      <c r="Q12" t="inlineStr">
        <is>
          <t xml:space="preserve">Головное подразделение -&gt; BizDev (А. Данилина) </t>
        </is>
      </c>
      <c r="R12" t="inlineStr"/>
      <c r="S1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2" t="inlineStr">
        <is>
          <t>https://diadoc.kontur.ru/4100c1d3-2464-4c71-95cc-21ba90d0c907/Document/Show?letterId=09428b5b-3d3b-4295-af44-0ff7c7da4a7f&amp;documentId=018b4320-2f22-40f3-9a08-8999ce68a417</t>
        </is>
      </c>
      <c r="U12" t="inlineStr"/>
      <c r="V12" t="inlineStr">
        <is>
          <t>2BM-7714037217-2013041906494444838870000000000</t>
        </is>
      </c>
    </row>
    <row r="13">
      <c r="A13">
        <f>"5405276278"</f>
        <v/>
      </c>
      <c r="B13">
        <f>"997750001"</f>
        <v/>
      </c>
      <c r="C13" t="inlineStr">
        <is>
          <t>ООО "ДубльГИС"</t>
        </is>
      </c>
      <c r="D13" t="inlineStr">
        <is>
          <t>Доп. соглашение №LBO-LE-5405276278 от 21.04.26</t>
        </is>
      </c>
      <c r="E13">
        <f>"LBO-LE-5405276278"</f>
        <v/>
      </c>
      <c r="F13" t="inlineStr">
        <is>
          <t>21.04.2026</t>
        </is>
      </c>
      <c r="G13" t="inlineStr"/>
      <c r="H13" t="inlineStr">
        <is>
          <t>RUB - Российский рубль</t>
        </is>
      </c>
      <c r="I13" t="inlineStr"/>
      <c r="J13" t="inlineStr"/>
      <c r="K13" t="inlineStr"/>
      <c r="L13" t="inlineStr"/>
      <c r="M13" t="inlineStr">
        <is>
          <t>21.04.2026 18:03:03</t>
        </is>
      </c>
      <c r="N13" t="inlineStr">
        <is>
          <t>Ожидается промежуточная подпись</t>
        </is>
      </c>
      <c r="O13" t="inlineStr"/>
      <c r="P13" t="inlineStr">
        <is>
          <t>21.04.2026 18:03:03</t>
        </is>
      </c>
      <c r="Q13" t="inlineStr">
        <is>
          <t xml:space="preserve">Головное подразделение -&gt; BizDev (А. Данилина) </t>
        </is>
      </c>
      <c r="R13" t="inlineStr"/>
      <c r="S1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3" t="inlineStr">
        <is>
          <t>https://diadoc.kontur.ru/4100c1d3-2464-4c71-95cc-21ba90d0c907/Document/Show?letterId=7ce88d28-d93a-4eb3-b75e-163bcd207b74&amp;documentId=8d4cd5c9-0592-4e0c-a05c-18cfac223467</t>
        </is>
      </c>
      <c r="U13" t="inlineStr"/>
      <c r="V13" t="inlineStr">
        <is>
          <t>2BM-5405276278-2012052807475378365240000000000</t>
        </is>
      </c>
    </row>
    <row r="14">
      <c r="A14">
        <f>"7736264044"</f>
        <v/>
      </c>
      <c r="B14">
        <f>"997750001"</f>
        <v/>
      </c>
      <c r="C14" t="inlineStr">
        <is>
          <t>ООО "СБЕРБАНК-ТЕЛЕКОМ"</t>
        </is>
      </c>
      <c r="D14" t="inlineStr">
        <is>
          <t>Доп. соглашение №LBO-LE-7736264044 от 21.04.26</t>
        </is>
      </c>
      <c r="E14">
        <f>"LBO-LE-7736264044"</f>
        <v/>
      </c>
      <c r="F14" t="inlineStr">
        <is>
          <t>21.04.2026</t>
        </is>
      </c>
      <c r="G14" t="inlineStr"/>
      <c r="H14" t="inlineStr">
        <is>
          <t>RUB - Российский рубль</t>
        </is>
      </c>
      <c r="I14" t="inlineStr"/>
      <c r="J14" t="inlineStr"/>
      <c r="K14" t="inlineStr"/>
      <c r="L14" t="inlineStr"/>
      <c r="M14" t="inlineStr">
        <is>
          <t>21.04.2026 18:03:03</t>
        </is>
      </c>
      <c r="N14" t="inlineStr">
        <is>
          <t>Ожидается промежуточная подпись</t>
        </is>
      </c>
      <c r="O14" t="inlineStr"/>
      <c r="P14" t="inlineStr">
        <is>
          <t>21.04.2026 18:03:03</t>
        </is>
      </c>
      <c r="Q14" t="inlineStr">
        <is>
          <t xml:space="preserve">Головное подразделение -&gt; BizDev (А. Данилина) </t>
        </is>
      </c>
      <c r="R14" t="inlineStr"/>
      <c r="S1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4" t="inlineStr">
        <is>
          <t>https://diadoc.kontur.ru/4100c1d3-2464-4c71-95cc-21ba90d0c907/Document/Show?letterId=0fb1ab38-75a6-416a-bcd8-254a26b33107&amp;documentId=b31279d3-3c8b-4f37-aedd-a6595e5acd09</t>
        </is>
      </c>
      <c r="U14" t="inlineStr"/>
      <c r="V14" t="inlineStr">
        <is>
          <t>2BM-7736264044-773601001-201604250949499477147</t>
        </is>
      </c>
    </row>
    <row r="15">
      <c r="A15">
        <f>"7736303529"</f>
        <v/>
      </c>
      <c r="B15">
        <f>"773001001"</f>
        <v/>
      </c>
      <c r="C15" t="inlineStr">
        <is>
          <t>ООО "АБТ"</t>
        </is>
      </c>
      <c r="D15" t="inlineStr">
        <is>
          <t>Доп. соглашение №LBO-LE-7736303529 от 21.04.26</t>
        </is>
      </c>
      <c r="E15">
        <f>"LBO-LE-7736303529"</f>
        <v/>
      </c>
      <c r="F15" t="inlineStr">
        <is>
          <t>21.04.2026</t>
        </is>
      </c>
      <c r="G15" t="inlineStr"/>
      <c r="H15" t="inlineStr">
        <is>
          <t>RUB - Российский рубль</t>
        </is>
      </c>
      <c r="I15" t="inlineStr"/>
      <c r="J15" t="inlineStr"/>
      <c r="K15" t="inlineStr"/>
      <c r="L15" t="inlineStr"/>
      <c r="M15" t="inlineStr">
        <is>
          <t>21.04.2026 18:03:03</t>
        </is>
      </c>
      <c r="N15" t="inlineStr">
        <is>
          <t>Ожидается промежуточная подпись</t>
        </is>
      </c>
      <c r="O15" t="inlineStr"/>
      <c r="P15" t="inlineStr">
        <is>
          <t>21.04.2026 18:03:03</t>
        </is>
      </c>
      <c r="Q15" t="inlineStr">
        <is>
          <t xml:space="preserve">Головное подразделение -&gt; BizDev (А. Данилина) </t>
        </is>
      </c>
      <c r="R15" t="inlineStr"/>
      <c r="S1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5" t="inlineStr">
        <is>
          <t>https://diadoc.kontur.ru/4100c1d3-2464-4c71-95cc-21ba90d0c907/Document/Show?letterId=f45e8d99-4bd7-4c46-9b9a-ff00ad41dc2f&amp;documentId=9c94b789-c559-43fd-9cb6-98f1544f371e</t>
        </is>
      </c>
      <c r="U15" t="inlineStr"/>
      <c r="V15" t="inlineStr">
        <is>
          <t>2BM-7736303529-773601001-201901151045071718995</t>
        </is>
      </c>
    </row>
    <row r="16">
      <c r="A16">
        <f>"6674330951"</f>
        <v/>
      </c>
      <c r="B16">
        <f>"667901001"</f>
        <v/>
      </c>
      <c r="C16" t="inlineStr">
        <is>
          <t>АО "ГРУППА "СВЭЛ"</t>
        </is>
      </c>
      <c r="D16" t="inlineStr">
        <is>
          <t>Доп. соглашение №LBO-LE-6674330951 от 21.04.26</t>
        </is>
      </c>
      <c r="E16">
        <f>"LBO-LE-6674330951"</f>
        <v/>
      </c>
      <c r="F16" t="inlineStr">
        <is>
          <t>21.04.2026</t>
        </is>
      </c>
      <c r="G16" t="inlineStr"/>
      <c r="H16" t="inlineStr">
        <is>
          <t>RUB - Российский рубль</t>
        </is>
      </c>
      <c r="I16" t="inlineStr"/>
      <c r="J16" t="inlineStr"/>
      <c r="K16" t="inlineStr"/>
      <c r="L16" t="inlineStr"/>
      <c r="M16" t="inlineStr">
        <is>
          <t>21.04.2026 18:03:03</t>
        </is>
      </c>
      <c r="N16" t="inlineStr">
        <is>
          <t>Ожидается промежуточная подпись</t>
        </is>
      </c>
      <c r="O16" t="inlineStr"/>
      <c r="P16" t="inlineStr">
        <is>
          <t>21.04.2026 18:03:03</t>
        </is>
      </c>
      <c r="Q16" t="inlineStr">
        <is>
          <t xml:space="preserve">Головное подразделение -&gt; BizDev (А. Данилина) </t>
        </is>
      </c>
      <c r="R16" t="inlineStr"/>
      <c r="S1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6" t="inlineStr">
        <is>
          <t>https://diadoc.kontur.ru/4100c1d3-2464-4c71-95cc-21ba90d0c907/Document/Show?letterId=49fe7568-ffc3-46a6-aff1-aacb49491fca&amp;documentId=71e7b925-f17b-4bd5-abac-85932f989ad0</t>
        </is>
      </c>
      <c r="U16" t="inlineStr"/>
      <c r="V16" t="inlineStr">
        <is>
          <t>2BM-6674330951-2012110807072921393260000000000</t>
        </is>
      </c>
    </row>
    <row r="17">
      <c r="A17">
        <f>"7730262964"</f>
        <v/>
      </c>
      <c r="B17">
        <f>"773001001"</f>
        <v/>
      </c>
      <c r="C17" t="inlineStr">
        <is>
          <t>ООО "СБЕРОБРАЗОВАНИЕ"</t>
        </is>
      </c>
      <c r="D17" t="inlineStr">
        <is>
          <t>Доп. соглашение №LBO-LE-7730262964 от 21.04.26</t>
        </is>
      </c>
      <c r="E17">
        <f>"LBO-LE-7730262964"</f>
        <v/>
      </c>
      <c r="F17" t="inlineStr">
        <is>
          <t>21.04.2026</t>
        </is>
      </c>
      <c r="G17" t="inlineStr"/>
      <c r="H17" t="inlineStr">
        <is>
          <t>RUB - Российский рубль</t>
        </is>
      </c>
      <c r="I17" t="inlineStr"/>
      <c r="J17" t="inlineStr"/>
      <c r="K17" t="inlineStr"/>
      <c r="L17" t="inlineStr"/>
      <c r="M17" t="inlineStr">
        <is>
          <t>21.04.2026 18:03:03</t>
        </is>
      </c>
      <c r="N17" t="inlineStr">
        <is>
          <t>Ожидается промежуточная подпись</t>
        </is>
      </c>
      <c r="O17" t="inlineStr"/>
      <c r="P17" t="inlineStr">
        <is>
          <t>21.04.2026 18:03:03</t>
        </is>
      </c>
      <c r="Q17" t="inlineStr">
        <is>
          <t xml:space="preserve">Головное подразделение -&gt; BizDev (А. Данилина) </t>
        </is>
      </c>
      <c r="R17" t="inlineStr"/>
      <c r="S1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7" t="inlineStr">
        <is>
          <t>https://diadoc.kontur.ru/4100c1d3-2464-4c71-95cc-21ba90d0c907/Document/Show?letterId=b396ac29-bc8f-4b7a-b50f-57ced74f89f2&amp;documentId=c8866bc5-935b-440c-b30d-7280a0f5b39d</t>
        </is>
      </c>
      <c r="U17" t="inlineStr"/>
      <c r="V17" t="inlineStr">
        <is>
          <t>2BM-7730262964-773001001-202104080140096713376</t>
        </is>
      </c>
    </row>
    <row r="18">
      <c r="A18">
        <f>"7705664765"</f>
        <v/>
      </c>
      <c r="B18">
        <f>"770701001"</f>
        <v/>
      </c>
      <c r="C18" t="inlineStr">
        <is>
          <t>ЗАО "Группа компаний С 7"</t>
        </is>
      </c>
      <c r="D18" t="inlineStr">
        <is>
          <t>Доп. соглашение №LBO-LE-7705664765 от 21.04.26</t>
        </is>
      </c>
      <c r="E18">
        <f>"LBO-LE-7705664765"</f>
        <v/>
      </c>
      <c r="F18" t="inlineStr">
        <is>
          <t>21.04.2026</t>
        </is>
      </c>
      <c r="G18" t="inlineStr"/>
      <c r="H18" t="inlineStr">
        <is>
          <t>RUB - Российский рубль</t>
        </is>
      </c>
      <c r="I18" t="inlineStr"/>
      <c r="J18" t="inlineStr"/>
      <c r="K18" t="inlineStr"/>
      <c r="L18" t="inlineStr"/>
      <c r="M18" t="inlineStr">
        <is>
          <t>21.04.2026 18:03:03</t>
        </is>
      </c>
      <c r="N18" t="inlineStr">
        <is>
          <t>Ожидается промежуточная подпись</t>
        </is>
      </c>
      <c r="O18" t="inlineStr"/>
      <c r="P18" t="inlineStr">
        <is>
          <t>21.04.2026 18:03:03</t>
        </is>
      </c>
      <c r="Q18" t="inlineStr">
        <is>
          <t xml:space="preserve">Головное подразделение -&gt; BizDev (А. Данилина) </t>
        </is>
      </c>
      <c r="R18" t="inlineStr"/>
      <c r="S1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8" t="inlineStr">
        <is>
          <t>https://diadoc.kontur.ru/4100c1d3-2464-4c71-95cc-21ba90d0c907/Document/Show?letterId=14691c6e-60d1-4bde-9ca0-d9b820425167&amp;documentId=15cd7951-1be1-46f6-90bf-68fa835f6eb2</t>
        </is>
      </c>
      <c r="U18" t="inlineStr"/>
      <c r="V18" t="inlineStr">
        <is>
          <t>2BM-7705664765-2012052808342199222630000000000</t>
        </is>
      </c>
    </row>
    <row r="19">
      <c r="A19">
        <f>"9710011437"</f>
        <v/>
      </c>
      <c r="B19">
        <f>"771001001"</f>
        <v/>
      </c>
      <c r="C19" t="inlineStr">
        <is>
          <t>ООО "ДОКДОК"</t>
        </is>
      </c>
      <c r="D19" t="inlineStr">
        <is>
          <t>Доп. соглашение №LBO-LE-9710011437 от 21.04.26</t>
        </is>
      </c>
      <c r="E19">
        <f>"LBO-LE-9710011437"</f>
        <v/>
      </c>
      <c r="F19" t="inlineStr">
        <is>
          <t>21.04.2026</t>
        </is>
      </c>
      <c r="G19" t="inlineStr"/>
      <c r="H19" t="inlineStr">
        <is>
          <t>RUB - Российский рубль</t>
        </is>
      </c>
      <c r="I19" t="inlineStr"/>
      <c r="J19" t="inlineStr"/>
      <c r="K19" t="inlineStr"/>
      <c r="L19" t="inlineStr"/>
      <c r="M19" t="inlineStr">
        <is>
          <t>21.04.2026 18:03:03</t>
        </is>
      </c>
      <c r="N19" t="inlineStr">
        <is>
          <t>Ожидается промежуточная подпись</t>
        </is>
      </c>
      <c r="O19" t="inlineStr"/>
      <c r="P19" t="inlineStr">
        <is>
          <t>21.04.2026 18:03:03</t>
        </is>
      </c>
      <c r="Q19" t="inlineStr">
        <is>
          <t xml:space="preserve">Головное подразделение -&gt; BizDev (А. Данилина) </t>
        </is>
      </c>
      <c r="R19" t="inlineStr"/>
      <c r="S1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19" t="inlineStr">
        <is>
          <t>https://diadoc.kontur.ru/4100c1d3-2464-4c71-95cc-21ba90d0c907/Document/Show?letterId=a9e14732-816e-4501-8928-e64a21a4b110&amp;documentId=645b6b5c-47db-40e2-b3f5-f645a1949873</t>
        </is>
      </c>
      <c r="U19" t="inlineStr"/>
      <c r="V19" t="inlineStr">
        <is>
          <t>2BM-9710011437-771001001-201703091137445169969</t>
        </is>
      </c>
    </row>
    <row r="20">
      <c r="A20">
        <f>"9706000111"</f>
        <v/>
      </c>
      <c r="B20">
        <f>"772501001"</f>
        <v/>
      </c>
      <c r="C20" t="inlineStr">
        <is>
          <t>ООО "ИННОВАЦИОННАЯ МЕДИЦИНА"</t>
        </is>
      </c>
      <c r="D20" t="inlineStr">
        <is>
          <t>Доп. соглашение №LBO-LE-9706000111 от 21.04.26</t>
        </is>
      </c>
      <c r="E20">
        <f>"LBO-LE-9706000111"</f>
        <v/>
      </c>
      <c r="F20" t="inlineStr">
        <is>
          <t>21.04.2026</t>
        </is>
      </c>
      <c r="G20" t="inlineStr"/>
      <c r="H20" t="inlineStr">
        <is>
          <t>RUB - Российский рубль</t>
        </is>
      </c>
      <c r="I20" t="inlineStr"/>
      <c r="J20" t="inlineStr"/>
      <c r="K20" t="inlineStr"/>
      <c r="L20" t="inlineStr"/>
      <c r="M20" t="inlineStr">
        <is>
          <t>21.04.2026 18:03:03</t>
        </is>
      </c>
      <c r="N20" t="inlineStr">
        <is>
          <t>Ожидается промежуточная подпись</t>
        </is>
      </c>
      <c r="O20" t="inlineStr"/>
      <c r="P20" t="inlineStr">
        <is>
          <t>21.04.2026 18:03:03</t>
        </is>
      </c>
      <c r="Q20" t="inlineStr">
        <is>
          <t xml:space="preserve">Головное подразделение -&gt; BizDev (А. Данилина) </t>
        </is>
      </c>
      <c r="R20" t="inlineStr"/>
      <c r="S2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0" t="inlineStr">
        <is>
          <t>https://diadoc.kontur.ru/4100c1d3-2464-4c71-95cc-21ba90d0c907/Document/Show?letterId=279275f3-2bdf-454e-bd89-ae37e09c296f&amp;documentId=16aad7ef-1280-422b-bd8e-07a5764efdb7</t>
        </is>
      </c>
      <c r="U20" t="inlineStr"/>
      <c r="V20" t="inlineStr">
        <is>
          <t>2BM-9706000111-770601001-201909050127287045284</t>
        </is>
      </c>
    </row>
    <row r="21">
      <c r="A21">
        <f>"7710183778"</f>
        <v/>
      </c>
      <c r="B21">
        <f>"770301001"</f>
        <v/>
      </c>
      <c r="C21" t="inlineStr">
        <is>
          <t>АО УК "ПЕРВАЯ"</t>
        </is>
      </c>
      <c r="D21" t="inlineStr">
        <is>
          <t>Доп. соглашение №LBO-LE-7710183778 от 21.04.26</t>
        </is>
      </c>
      <c r="E21">
        <f>"LBO-LE-7710183778"</f>
        <v/>
      </c>
      <c r="F21" t="inlineStr">
        <is>
          <t>21.04.2026</t>
        </is>
      </c>
      <c r="G21" t="inlineStr"/>
      <c r="H21" t="inlineStr">
        <is>
          <t>RUB - Российский рубль</t>
        </is>
      </c>
      <c r="I21" t="inlineStr"/>
      <c r="J21" t="inlineStr"/>
      <c r="K21" t="inlineStr"/>
      <c r="L21" t="inlineStr"/>
      <c r="M21" t="inlineStr">
        <is>
          <t>21.04.2026 18:03:03</t>
        </is>
      </c>
      <c r="N21" t="inlineStr">
        <is>
          <t>Ожидается промежуточная подпись</t>
        </is>
      </c>
      <c r="O21" t="inlineStr"/>
      <c r="P21" t="inlineStr">
        <is>
          <t>21.04.2026 18:03:03</t>
        </is>
      </c>
      <c r="Q21" t="inlineStr">
        <is>
          <t xml:space="preserve">Головное подразделение -&gt; BizDev (А. Данилина) </t>
        </is>
      </c>
      <c r="R21" t="inlineStr"/>
      <c r="S2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1" t="inlineStr">
        <is>
          <t>https://diadoc.kontur.ru/4100c1d3-2464-4c71-95cc-21ba90d0c907/Document/Show?letterId=1a474a11-cb39-4ea8-bd52-76c32e4cd1e8&amp;documentId=04fab41d-b7e4-4a61-8245-90609cb6c583</t>
        </is>
      </c>
      <c r="U21" t="inlineStr"/>
      <c r="V21" t="inlineStr">
        <is>
          <t>2BM-7710183778-775001001-201409220723375413314</t>
        </is>
      </c>
    </row>
    <row r="22">
      <c r="A22">
        <f>"5024093941"</f>
        <v/>
      </c>
      <c r="B22">
        <f>"773001001"</f>
        <v/>
      </c>
      <c r="C22" t="inlineStr">
        <is>
          <t>АО "СБЕРСИТИ"</t>
        </is>
      </c>
      <c r="D22" t="inlineStr">
        <is>
          <t>Доп. соглашение №LBO-LE-5024093941 от 21.04.26</t>
        </is>
      </c>
      <c r="E22">
        <f>"LBO-LE-5024093941"</f>
        <v/>
      </c>
      <c r="F22" t="inlineStr">
        <is>
          <t>21.04.2026</t>
        </is>
      </c>
      <c r="G22" t="inlineStr"/>
      <c r="H22" t="inlineStr">
        <is>
          <t>RUB - Российский рубль</t>
        </is>
      </c>
      <c r="I22" t="inlineStr"/>
      <c r="J22" t="inlineStr"/>
      <c r="K22" t="inlineStr"/>
      <c r="L22" t="inlineStr"/>
      <c r="M22" t="inlineStr">
        <is>
          <t>21.04.2026 18:03:03</t>
        </is>
      </c>
      <c r="N22" t="inlineStr">
        <is>
          <t>Ожидается промежуточная подпись</t>
        </is>
      </c>
      <c r="O22" t="inlineStr"/>
      <c r="P22" t="inlineStr">
        <is>
          <t>21.04.2026 18:03:03</t>
        </is>
      </c>
      <c r="Q22" t="inlineStr">
        <is>
          <t xml:space="preserve">Головное подразделение -&gt; BizDev (А. Данилина) </t>
        </is>
      </c>
      <c r="R22" t="inlineStr"/>
      <c r="S2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2" t="inlineStr">
        <is>
          <t>https://diadoc.kontur.ru/4100c1d3-2464-4c71-95cc-21ba90d0c907/Document/Show?letterId=6d47a8ec-f5fa-4587-bbd5-60ce21b27c9a&amp;documentId=56483607-e3a0-42c5-ad6c-bf5bbfec27e7</t>
        </is>
      </c>
      <c r="U22" t="inlineStr"/>
      <c r="V22" t="inlineStr">
        <is>
          <t>2BM-5024093941-2012052808331238502630000000000</t>
        </is>
      </c>
    </row>
    <row r="23">
      <c r="A23">
        <f>"7701103751"</f>
        <v/>
      </c>
      <c r="B23">
        <f>"770101001"</f>
        <v/>
      </c>
      <c r="C23" t="inlineStr">
        <is>
          <t>АО "АИФ"</t>
        </is>
      </c>
      <c r="D23" t="inlineStr">
        <is>
          <t>Доп. соглашение №LBO-LE-7701103751 от 21.04.26</t>
        </is>
      </c>
      <c r="E23">
        <f>"LBO-LE-7701103751"</f>
        <v/>
      </c>
      <c r="F23" t="inlineStr">
        <is>
          <t>21.04.2026</t>
        </is>
      </c>
      <c r="G23" t="inlineStr"/>
      <c r="H23" t="inlineStr">
        <is>
          <t>RUB - Российский рубль</t>
        </is>
      </c>
      <c r="I23" t="inlineStr"/>
      <c r="J23" t="inlineStr"/>
      <c r="K23" t="inlineStr"/>
      <c r="L23" t="inlineStr"/>
      <c r="M23" t="inlineStr">
        <is>
          <t>21.04.2026 18:03:03</t>
        </is>
      </c>
      <c r="N23" t="inlineStr">
        <is>
          <t>Ожидается промежуточная подпись</t>
        </is>
      </c>
      <c r="O23" t="inlineStr"/>
      <c r="P23" t="inlineStr">
        <is>
          <t>21.04.2026 18:03:03</t>
        </is>
      </c>
      <c r="Q23" t="inlineStr">
        <is>
          <t xml:space="preserve">Головное подразделение -&gt; BizDev (А. Данилина) </t>
        </is>
      </c>
      <c r="R23" t="inlineStr"/>
      <c r="S2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3" t="inlineStr">
        <is>
          <t>https://diadoc.kontur.ru/4100c1d3-2464-4c71-95cc-21ba90d0c907/Document/Show?letterId=933f7ca8-7dbc-4eb9-b628-4aae4852647c&amp;documentId=c5a6c687-437a-4fa3-93c2-957c66982a6d</t>
        </is>
      </c>
      <c r="U23" t="inlineStr"/>
      <c r="V23" t="inlineStr">
        <is>
          <t>2BM-7701103751-2013011012115933921680000000000</t>
        </is>
      </c>
    </row>
    <row r="24">
      <c r="A24">
        <f>"9710135746"</f>
        <v/>
      </c>
      <c r="B24">
        <f>"771001001"</f>
        <v/>
      </c>
      <c r="C24" t="inlineStr">
        <is>
          <t>ООО "ЭЙАЙЭКСПЕРТ"</t>
        </is>
      </c>
      <c r="D24" t="inlineStr">
        <is>
          <t>Доп. соглашение №LBO-LE-9710135746 от 21.04.26</t>
        </is>
      </c>
      <c r="E24">
        <f>"LBO-LE-9710135746"</f>
        <v/>
      </c>
      <c r="F24" t="inlineStr">
        <is>
          <t>21.04.2026</t>
        </is>
      </c>
      <c r="G24" t="inlineStr"/>
      <c r="H24" t="inlineStr">
        <is>
          <t>RUB - Российский рубль</t>
        </is>
      </c>
      <c r="I24" t="inlineStr"/>
      <c r="J24" t="inlineStr"/>
      <c r="K24" t="inlineStr"/>
      <c r="L24" t="inlineStr"/>
      <c r="M24" t="inlineStr">
        <is>
          <t>21.04.2026 18:03:11</t>
        </is>
      </c>
      <c r="N24" t="inlineStr">
        <is>
          <t>Ожидается промежуточная подпись</t>
        </is>
      </c>
      <c r="O24" t="inlineStr"/>
      <c r="P24" t="inlineStr">
        <is>
          <t>21.04.2026 18:03:11</t>
        </is>
      </c>
      <c r="Q24" t="inlineStr">
        <is>
          <t xml:space="preserve">Головное подразделение -&gt; BizDev (А. Данилина) </t>
        </is>
      </c>
      <c r="R24" t="inlineStr"/>
      <c r="S2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4" t="inlineStr">
        <is>
          <t>https://diadoc.kontur.ru/4100c1d3-2464-4c71-95cc-21ba90d0c907/Document/Show?letterId=de40fd4e-8c62-45af-bd94-40f95c3126af&amp;documentId=002b0c6b-7db6-4e31-ab94-43bedb314f52</t>
        </is>
      </c>
      <c r="U24" t="inlineStr"/>
      <c r="V24" t="inlineStr">
        <is>
          <t>2BM-9710135746-771001001-202408210656584132210</t>
        </is>
      </c>
    </row>
    <row r="25">
      <c r="A25">
        <f>"6905062011"</f>
        <v/>
      </c>
      <c r="B25">
        <f>"997150001"</f>
        <v/>
      </c>
      <c r="C25" t="inlineStr">
        <is>
          <t>АО "ДКС"</t>
        </is>
      </c>
      <c r="D25" t="inlineStr">
        <is>
          <t>Доп. соглашение №LBO-LE-6905062011 от 21.04.26</t>
        </is>
      </c>
      <c r="E25">
        <f>"LBO-LE-6905062011"</f>
        <v/>
      </c>
      <c r="F25" t="inlineStr">
        <is>
          <t>21.04.2026</t>
        </is>
      </c>
      <c r="G25" t="inlineStr"/>
      <c r="H25" t="inlineStr">
        <is>
          <t>RUB - Российский рубль</t>
        </is>
      </c>
      <c r="I25" t="inlineStr"/>
      <c r="J25" t="inlineStr"/>
      <c r="K25" t="inlineStr"/>
      <c r="L25" t="inlineStr"/>
      <c r="M25" t="inlineStr">
        <is>
          <t>22.04.2026 15:08:14</t>
        </is>
      </c>
      <c r="N25" t="inlineStr">
        <is>
          <t>Ожидается промежуточная подпись</t>
        </is>
      </c>
      <c r="O25" t="inlineStr"/>
      <c r="P25" t="inlineStr">
        <is>
          <t>22.04.2026 15:08:14</t>
        </is>
      </c>
      <c r="Q25" t="inlineStr">
        <is>
          <t xml:space="preserve">Головное подразделение -&gt; BizDev (А. Данилина) </t>
        </is>
      </c>
      <c r="R25" t="inlineStr"/>
      <c r="S2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5" t="inlineStr">
        <is>
          <t>https://diadoc.kontur.ru/4100c1d3-2464-4c71-95cc-21ba90d0c907/Document/Show?letterId=1db40d2f-58f6-4c1e-a1d8-db3112bdea1d&amp;documentId=d37df6e8-eb17-45ac-b66d-e0b8140e7c9a</t>
        </is>
      </c>
      <c r="U25" t="inlineStr"/>
      <c r="V25" t="inlineStr">
        <is>
          <t>2BM-6905062011-2012073010503125473850000000000</t>
        </is>
      </c>
    </row>
    <row r="26">
      <c r="A26">
        <f>"9729292654"</f>
        <v/>
      </c>
      <c r="B26">
        <f>"772901001"</f>
        <v/>
      </c>
      <c r="C26" t="inlineStr">
        <is>
          <t>ООО "АДАПТИВНЫЕ ТЕХНОЛОГИИ РАЗВИТИЯ"</t>
        </is>
      </c>
      <c r="D26" t="inlineStr">
        <is>
          <t>Доп. соглашение №LBO-LE-9729292654 от 22.04.26</t>
        </is>
      </c>
      <c r="E26">
        <f>"LBO-LE-9729292654"</f>
        <v/>
      </c>
      <c r="F26" t="inlineStr">
        <is>
          <t>22.04.2026</t>
        </is>
      </c>
      <c r="G26" t="inlineStr"/>
      <c r="H26" t="inlineStr">
        <is>
          <t>RUB - Российский рубль</t>
        </is>
      </c>
      <c r="I26" t="inlineStr"/>
      <c r="J26" t="inlineStr"/>
      <c r="K26" t="inlineStr"/>
      <c r="L26" t="inlineStr"/>
      <c r="M26" t="inlineStr">
        <is>
          <t>22.04.2026 15:08:14</t>
        </is>
      </c>
      <c r="N26" t="inlineStr">
        <is>
          <t>Ожидается промежуточная подпись</t>
        </is>
      </c>
      <c r="O26" t="inlineStr"/>
      <c r="P26" t="inlineStr">
        <is>
          <t>22.04.2026 15:08:14</t>
        </is>
      </c>
      <c r="Q26" t="inlineStr">
        <is>
          <t xml:space="preserve">Головное подразделение -&gt; BizDev (А. Данилина) </t>
        </is>
      </c>
      <c r="R26" t="inlineStr"/>
      <c r="S2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6" t="inlineStr">
        <is>
          <t>https://diadoc.kontur.ru/4100c1d3-2464-4c71-95cc-21ba90d0c907/Document/Show?letterId=2c8edd22-c03c-4fb8-9584-ae2359e06387&amp;documentId=8dad496f-445c-452f-a592-4f4dc8abed59</t>
        </is>
      </c>
      <c r="U26" t="inlineStr"/>
      <c r="V26" t="inlineStr">
        <is>
          <t>2BM-9729292654-772901001-202002050849418300734</t>
        </is>
      </c>
    </row>
    <row r="27">
      <c r="A27">
        <f>"7811753424"</f>
        <v/>
      </c>
      <c r="B27">
        <f>"781001001"</f>
        <v/>
      </c>
      <c r="C27" t="inlineStr">
        <is>
          <t>ООО "ОЗБЭТТЕРИЗ"</t>
        </is>
      </c>
      <c r="D27" t="inlineStr">
        <is>
          <t>Доп. соглашение №LBO-LE-7811753424 от 21.04.26</t>
        </is>
      </c>
      <c r="E27">
        <f>"LBO-LE-7811753424"</f>
        <v/>
      </c>
      <c r="F27" t="inlineStr">
        <is>
          <t>21.04.2026</t>
        </is>
      </c>
      <c r="G27" t="inlineStr"/>
      <c r="H27" t="inlineStr">
        <is>
          <t>RUB - Российский рубль</t>
        </is>
      </c>
      <c r="I27" t="inlineStr"/>
      <c r="J27" t="inlineStr"/>
      <c r="K27" t="inlineStr"/>
      <c r="L27" t="inlineStr"/>
      <c r="M27" t="inlineStr">
        <is>
          <t>22.04.2026 15:08:14</t>
        </is>
      </c>
      <c r="N27" t="inlineStr">
        <is>
          <t>Ожидается промежуточная подпись</t>
        </is>
      </c>
      <c r="O27" t="inlineStr"/>
      <c r="P27" t="inlineStr">
        <is>
          <t>22.04.2026 15:08:14</t>
        </is>
      </c>
      <c r="Q27" t="inlineStr">
        <is>
          <t xml:space="preserve">Головное подразделение -&gt; BizDev (А. Данилина) </t>
        </is>
      </c>
      <c r="R27" t="inlineStr"/>
      <c r="S2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7" t="inlineStr">
        <is>
          <t>https://diadoc.kontur.ru/4100c1d3-2464-4c71-95cc-21ba90d0c907/Document/Show?letterId=144c8b91-e507-4a0b-b827-17068f1ee5fc&amp;documentId=bbbbc8f5-5a4c-40b5-adad-87aaf989d2c9</t>
        </is>
      </c>
      <c r="U27" t="inlineStr"/>
      <c r="V27" t="inlineStr">
        <is>
          <t>2BM-7811753424-781101001-202101280852447862235</t>
        </is>
      </c>
    </row>
    <row r="28">
      <c r="A28">
        <f>"7717586110"</f>
        <v/>
      </c>
      <c r="B28">
        <f>"770501001"</f>
        <v/>
      </c>
      <c r="C28" t="inlineStr">
        <is>
          <t>ООО "1С-Битрикс"</t>
        </is>
      </c>
      <c r="D28" t="inlineStr">
        <is>
          <t>Доп. соглашение №LBO-LE-7717586110 от 21.04.26</t>
        </is>
      </c>
      <c r="E28">
        <f>"LBO-LE-7717586110"</f>
        <v/>
      </c>
      <c r="F28" t="inlineStr">
        <is>
          <t>21.04.2026</t>
        </is>
      </c>
      <c r="G28" t="inlineStr"/>
      <c r="H28" t="inlineStr">
        <is>
          <t>RUB - Российский рубль</t>
        </is>
      </c>
      <c r="I28" t="inlineStr"/>
      <c r="J28" t="inlineStr"/>
      <c r="K28" t="inlineStr"/>
      <c r="L28" t="inlineStr"/>
      <c r="M28" t="inlineStr">
        <is>
          <t>22.04.2026 15:08:14</t>
        </is>
      </c>
      <c r="N28" t="inlineStr">
        <is>
          <t>Ожидается промежуточная подпись</t>
        </is>
      </c>
      <c r="O28" t="inlineStr"/>
      <c r="P28" t="inlineStr">
        <is>
          <t>22.04.2026 15:08:14</t>
        </is>
      </c>
      <c r="Q28" t="inlineStr">
        <is>
          <t xml:space="preserve">Головное подразделение -&gt; BizDev (А. Данилина) </t>
        </is>
      </c>
      <c r="R28" t="inlineStr"/>
      <c r="S2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8" t="inlineStr">
        <is>
          <t>https://diadoc.kontur.ru/4100c1d3-2464-4c71-95cc-21ba90d0c907/Document/Show?letterId=fb29d128-a8f3-49e0-b45d-6cc0247e2f33&amp;documentId=6db8b825-5d93-4467-8506-107415352063</t>
        </is>
      </c>
      <c r="U28" t="inlineStr"/>
      <c r="V28" t="inlineStr">
        <is>
          <t>2BM-7717586110-2012052807532742374290000000000</t>
        </is>
      </c>
    </row>
    <row r="29">
      <c r="A29">
        <f>"9731065465"</f>
        <v/>
      </c>
      <c r="B29">
        <f>"773101001"</f>
        <v/>
      </c>
      <c r="C29" t="inlineStr">
        <is>
          <t>ООО "СБЕРМЕДИИ"</t>
        </is>
      </c>
      <c r="D29" t="inlineStr">
        <is>
          <t>Доп. соглашение №LBO-LE-9731065465 от 21.04.26</t>
        </is>
      </c>
      <c r="E29">
        <f>"LBO-LE-9731065465"</f>
        <v/>
      </c>
      <c r="F29" t="inlineStr">
        <is>
          <t>21.04.2026</t>
        </is>
      </c>
      <c r="G29" t="inlineStr"/>
      <c r="H29" t="inlineStr">
        <is>
          <t>RUB - Российский рубль</t>
        </is>
      </c>
      <c r="I29" t="inlineStr"/>
      <c r="J29" t="inlineStr"/>
      <c r="K29" t="inlineStr"/>
      <c r="L29" t="inlineStr"/>
      <c r="M29" t="inlineStr">
        <is>
          <t>22.04.2026 15:08:14</t>
        </is>
      </c>
      <c r="N29" t="inlineStr">
        <is>
          <t>Ожидается промежуточная подпись</t>
        </is>
      </c>
      <c r="O29" t="inlineStr"/>
      <c r="P29" t="inlineStr">
        <is>
          <t>22.04.2026 15:08:14</t>
        </is>
      </c>
      <c r="Q29" t="inlineStr">
        <is>
          <t xml:space="preserve">Головное подразделение -&gt; BizDev (А. Данилина) </t>
        </is>
      </c>
      <c r="R29" t="inlineStr"/>
      <c r="S2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29" t="inlineStr">
        <is>
          <t>https://diadoc.kontur.ru/4100c1d3-2464-4c71-95cc-21ba90d0c907/Document/Show?letterId=bf6924e7-71da-4323-8f6d-81bca3bcb9c3&amp;documentId=c4b1a76c-de5c-4fc1-87b9-69cc4738bafe</t>
        </is>
      </c>
      <c r="U29" t="inlineStr"/>
      <c r="V29" t="inlineStr">
        <is>
          <t>2BM-9731065465-773101001-202008251257056035458</t>
        </is>
      </c>
    </row>
    <row r="30">
      <c r="A30">
        <f>"3460062918"</f>
        <v/>
      </c>
      <c r="B30">
        <f>"344401001"</f>
        <v/>
      </c>
      <c r="C30" t="inlineStr">
        <is>
          <t>ООО "ХЕППИВЕАР ЮГ"</t>
        </is>
      </c>
      <c r="D30" t="inlineStr">
        <is>
          <t>Доп. соглашение №LBO-LE-3460062918 от 21.04.26</t>
        </is>
      </c>
      <c r="E30">
        <f>"LBO-LE-3460062918"</f>
        <v/>
      </c>
      <c r="F30" t="inlineStr">
        <is>
          <t>21.04.2026</t>
        </is>
      </c>
      <c r="G30" t="inlineStr"/>
      <c r="H30" t="inlineStr">
        <is>
          <t>RUB - Российский рубль</t>
        </is>
      </c>
      <c r="I30" t="inlineStr"/>
      <c r="J30" t="inlineStr"/>
      <c r="K30" t="inlineStr"/>
      <c r="L30" t="inlineStr"/>
      <c r="M30" t="inlineStr">
        <is>
          <t>22.04.2026 15:08:14</t>
        </is>
      </c>
      <c r="N30" t="inlineStr">
        <is>
          <t>Ожидается промежуточная подпись</t>
        </is>
      </c>
      <c r="O30" t="inlineStr"/>
      <c r="P30" t="inlineStr">
        <is>
          <t>22.04.2026 15:08:14</t>
        </is>
      </c>
      <c r="Q30" t="inlineStr">
        <is>
          <t xml:space="preserve">Головное подразделение -&gt; BizDev (А. Данилина) </t>
        </is>
      </c>
      <c r="R30" t="inlineStr"/>
      <c r="S3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0" t="inlineStr">
        <is>
          <t>https://diadoc.kontur.ru/4100c1d3-2464-4c71-95cc-21ba90d0c907/Document/Show?letterId=476672fa-2286-4a4e-bc9e-ef89d5c281e8&amp;documentId=1c073372-724b-475e-a4b2-0fe51ee8c49b</t>
        </is>
      </c>
      <c r="U30" t="inlineStr"/>
      <c r="V30" t="inlineStr">
        <is>
          <t>2BM-3460062918-346001001-201701161254302210381</t>
        </is>
      </c>
    </row>
    <row r="31">
      <c r="A31">
        <f>"5045016560"</f>
        <v/>
      </c>
      <c r="B31">
        <f>"997150001"</f>
        <v/>
      </c>
      <c r="C31" t="inlineStr">
        <is>
          <t>ООО "Марс"</t>
        </is>
      </c>
      <c r="D31" t="inlineStr">
        <is>
          <t>Доп. соглашение №LBO-LE-5045016560 от 21.04.26</t>
        </is>
      </c>
      <c r="E31">
        <f>"LBO-LE-5045016560"</f>
        <v/>
      </c>
      <c r="F31" t="inlineStr">
        <is>
          <t>21.04.2026</t>
        </is>
      </c>
      <c r="G31" t="inlineStr"/>
      <c r="H31" t="inlineStr">
        <is>
          <t>RUB - Российский рубль</t>
        </is>
      </c>
      <c r="I31" t="inlineStr"/>
      <c r="J31" t="inlineStr"/>
      <c r="K31" t="inlineStr"/>
      <c r="L31" t="inlineStr"/>
      <c r="M31" t="inlineStr">
        <is>
          <t>22.04.2026 15:08:14</t>
        </is>
      </c>
      <c r="N31" t="inlineStr">
        <is>
          <t>Ожидается промежуточная подпись</t>
        </is>
      </c>
      <c r="O31" t="inlineStr"/>
      <c r="P31" t="inlineStr">
        <is>
          <t>22.04.2026 15:08:14</t>
        </is>
      </c>
      <c r="Q31" t="inlineStr">
        <is>
          <t xml:space="preserve">Головное подразделение -&gt; BizDev (А. Данилина) </t>
        </is>
      </c>
      <c r="R31" t="inlineStr"/>
      <c r="S3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1" t="inlineStr">
        <is>
          <t>https://diadoc.kontur.ru/4100c1d3-2464-4c71-95cc-21ba90d0c907/Document/Show?letterId=9dbf98c4-2f7d-449a-9c29-9ecc8113bed8&amp;documentId=7897fca0-d4e3-4186-8370-72f430726361</t>
        </is>
      </c>
      <c r="U31" t="inlineStr"/>
      <c r="V31" t="inlineStr">
        <is>
          <t>2BM-5045016560-2012101108055532096200000000000</t>
        </is>
      </c>
    </row>
    <row r="32">
      <c r="A32">
        <f>"7707049388"</f>
        <v/>
      </c>
      <c r="B32">
        <f>"770545001"</f>
        <v/>
      </c>
      <c r="C32" t="inlineStr">
        <is>
          <t>Корпоративный Центр ПАО «Ростелеком»</t>
        </is>
      </c>
      <c r="D32" t="inlineStr">
        <is>
          <t>Доп. соглашение №LBO-LE-7707049388 от 22.04.26</t>
        </is>
      </c>
      <c r="E32">
        <f>"LBO-LE-7707049388"</f>
        <v/>
      </c>
      <c r="F32" t="inlineStr">
        <is>
          <t>22.04.2026</t>
        </is>
      </c>
      <c r="G32" t="inlineStr"/>
      <c r="H32" t="inlineStr">
        <is>
          <t>RUB - Российский рубль</t>
        </is>
      </c>
      <c r="I32" t="inlineStr"/>
      <c r="J32" t="inlineStr"/>
      <c r="K32" t="inlineStr"/>
      <c r="L32" t="inlineStr"/>
      <c r="M32" t="inlineStr">
        <is>
          <t>22.04.2026 15:08:14</t>
        </is>
      </c>
      <c r="N32" t="inlineStr">
        <is>
          <t>Ожидается промежуточная подпись</t>
        </is>
      </c>
      <c r="O32" t="inlineStr"/>
      <c r="P32" t="inlineStr">
        <is>
          <t>22.04.2026 15:08:14</t>
        </is>
      </c>
      <c r="Q32" t="inlineStr">
        <is>
          <t xml:space="preserve">Головное подразделение -&gt; BizDev (А. Данилина) </t>
        </is>
      </c>
      <c r="R32" t="inlineStr"/>
      <c r="S3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2" t="inlineStr">
        <is>
          <t>https://diadoc.kontur.ru/4100c1d3-2464-4c71-95cc-21ba90d0c907/Document/Show?letterId=e0f4d7d5-8f4a-4338-abe5-a5895b4a67e5&amp;documentId=ab83c72b-ecee-4d2f-ae42-c0140aaabcd0</t>
        </is>
      </c>
      <c r="U32" t="inlineStr"/>
      <c r="V32" t="inlineStr">
        <is>
          <t>2BM-7707049388-770545001-201607140635186717595</t>
        </is>
      </c>
    </row>
    <row r="33">
      <c r="A33">
        <f>"3812014066"</f>
        <v/>
      </c>
      <c r="B33">
        <f>"381201001"</f>
        <v/>
      </c>
      <c r="C33" t="inlineStr">
        <is>
          <t>ИРНИТУ, ФГБОУ ВО "ИРНИТУ", "ИРКУТСКИЙ ПОЛИТЕХ"</t>
        </is>
      </c>
      <c r="D33" t="inlineStr">
        <is>
          <t>Доп. соглашение №LBO-LE-3812014066 от 21.04.26</t>
        </is>
      </c>
      <c r="E33">
        <f>"LBO-LE-3812014066"</f>
        <v/>
      </c>
      <c r="F33" t="inlineStr">
        <is>
          <t>21.04.2026</t>
        </is>
      </c>
      <c r="G33" t="inlineStr"/>
      <c r="H33" t="inlineStr">
        <is>
          <t>RUB - Российский рубль</t>
        </is>
      </c>
      <c r="I33" t="inlineStr"/>
      <c r="J33" t="inlineStr"/>
      <c r="K33" t="inlineStr"/>
      <c r="L33" t="inlineStr"/>
      <c r="M33" t="inlineStr">
        <is>
          <t>22.04.2026 15:08:14</t>
        </is>
      </c>
      <c r="N33" t="inlineStr">
        <is>
          <t>Ожидается промежуточная подпись</t>
        </is>
      </c>
      <c r="O33" t="inlineStr"/>
      <c r="P33" t="inlineStr">
        <is>
          <t>22.04.2026 15:08:14</t>
        </is>
      </c>
      <c r="Q33" t="inlineStr">
        <is>
          <t xml:space="preserve">Головное подразделение -&gt; BizDev (А. Данилина) </t>
        </is>
      </c>
      <c r="R33" t="inlineStr"/>
      <c r="S3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3" t="inlineStr">
        <is>
          <t>https://diadoc.kontur.ru/4100c1d3-2464-4c71-95cc-21ba90d0c907/Document/Show?letterId=acc434a3-c17e-4b1f-b91f-9e3d4b91dfeb&amp;documentId=36399ca7-465e-49a5-8f6b-d2de3424d969</t>
        </is>
      </c>
      <c r="U33" t="inlineStr"/>
      <c r="V33" t="inlineStr">
        <is>
          <t>2BM-3812014066-2012052808335486382630000000000</t>
        </is>
      </c>
    </row>
    <row r="34">
      <c r="A34">
        <f>"9731026963"</f>
        <v/>
      </c>
      <c r="B34">
        <f>"773101001"</f>
        <v/>
      </c>
      <c r="C34" t="inlineStr">
        <is>
          <t>ООО "СМАРТ КОНСТРАКШН"</t>
        </is>
      </c>
      <c r="D34" t="inlineStr">
        <is>
          <t>Доп. соглашение №LBO-LE-9731026963 от 21.04.26</t>
        </is>
      </c>
      <c r="E34">
        <f>"LBO-LE-9731026963"</f>
        <v/>
      </c>
      <c r="F34" t="inlineStr">
        <is>
          <t>21.04.2026</t>
        </is>
      </c>
      <c r="G34" t="inlineStr"/>
      <c r="H34" t="inlineStr">
        <is>
          <t>RUB - Российский рубль</t>
        </is>
      </c>
      <c r="I34" t="inlineStr"/>
      <c r="J34" t="inlineStr"/>
      <c r="K34" t="inlineStr"/>
      <c r="L34" t="inlineStr"/>
      <c r="M34" t="inlineStr">
        <is>
          <t>22.04.2026 15:08:14</t>
        </is>
      </c>
      <c r="N34" t="inlineStr">
        <is>
          <t>Ожидается промежуточная подпись</t>
        </is>
      </c>
      <c r="O34" t="inlineStr"/>
      <c r="P34" t="inlineStr">
        <is>
          <t>22.04.2026 15:08:14</t>
        </is>
      </c>
      <c r="Q34" t="inlineStr">
        <is>
          <t xml:space="preserve">Головное подразделение -&gt; BizDev (А. Данилина) </t>
        </is>
      </c>
      <c r="R34" t="inlineStr"/>
      <c r="S3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4" t="inlineStr">
        <is>
          <t>https://diadoc.kontur.ru/4100c1d3-2464-4c71-95cc-21ba90d0c907/Document/Show?letterId=7c5bc887-5a0f-4d0b-a942-b1dbe8b0e05c&amp;documentId=104185aa-b428-47c2-a163-644803102afa</t>
        </is>
      </c>
      <c r="U34" t="inlineStr"/>
      <c r="V34" t="inlineStr">
        <is>
          <t>2BM-9731026963-773101001-201903050133339128614</t>
        </is>
      </c>
    </row>
    <row r="35">
      <c r="A35">
        <f>"7736249247"</f>
        <v/>
      </c>
      <c r="B35">
        <f>"773001001"</f>
        <v/>
      </c>
      <c r="C35" t="inlineStr">
        <is>
          <t>ООО "ДОМКЛИК"</t>
        </is>
      </c>
      <c r="D35" t="inlineStr">
        <is>
          <t>Доп. соглашение №LBO-LE-7736249247 от 21.04.26</t>
        </is>
      </c>
      <c r="E35">
        <f>"LBO-LE-7736249247"</f>
        <v/>
      </c>
      <c r="F35" t="inlineStr">
        <is>
          <t>21.04.2026</t>
        </is>
      </c>
      <c r="G35" t="inlineStr"/>
      <c r="H35" t="inlineStr">
        <is>
          <t>RUB - Российский рубль</t>
        </is>
      </c>
      <c r="I35" t="inlineStr"/>
      <c r="J35" t="inlineStr"/>
      <c r="K35" t="inlineStr"/>
      <c r="L35" t="inlineStr"/>
      <c r="M35" t="inlineStr">
        <is>
          <t>22.04.2026 15:08:14</t>
        </is>
      </c>
      <c r="N35" t="inlineStr">
        <is>
          <t>Ожидается промежуточная подпись</t>
        </is>
      </c>
      <c r="O35" t="inlineStr"/>
      <c r="P35" t="inlineStr">
        <is>
          <t>22.04.2026 15:08:14</t>
        </is>
      </c>
      <c r="Q35" t="inlineStr">
        <is>
          <t xml:space="preserve">Головное подразделение -&gt; BizDev (А. Данилина) </t>
        </is>
      </c>
      <c r="R35" t="inlineStr"/>
      <c r="S3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5" t="inlineStr">
        <is>
          <t>https://diadoc.kontur.ru/4100c1d3-2464-4c71-95cc-21ba90d0c907/Document/Show?letterId=3e8bf875-5b7c-4767-99fb-1b40a4a05719&amp;documentId=4801cc52-7954-44ef-b830-87c5afe61d97</t>
        </is>
      </c>
      <c r="U35" t="inlineStr"/>
      <c r="V35" t="inlineStr">
        <is>
          <t>2BM-7736249247-773601001-201509281136356578567</t>
        </is>
      </c>
    </row>
    <row r="36">
      <c r="A36">
        <f>"7813286694"</f>
        <v/>
      </c>
      <c r="B36">
        <f>"781301001"</f>
        <v/>
      </c>
      <c r="C36" t="inlineStr">
        <is>
          <t>ООО "МАИНД КРАФТ"</t>
        </is>
      </c>
      <c r="D36" t="inlineStr">
        <is>
          <t>Доп. соглашение №LBO-LE-7813286694 от 22.04.26</t>
        </is>
      </c>
      <c r="E36">
        <f>"LBO-LE-7813286694"</f>
        <v/>
      </c>
      <c r="F36" t="inlineStr">
        <is>
          <t>22.04.2026</t>
        </is>
      </c>
      <c r="G36" t="inlineStr"/>
      <c r="H36" t="inlineStr">
        <is>
          <t>RUB - Российский рубль</t>
        </is>
      </c>
      <c r="I36" t="inlineStr"/>
      <c r="J36" t="inlineStr"/>
      <c r="K36" t="inlineStr"/>
      <c r="L36" t="inlineStr"/>
      <c r="M36" t="inlineStr">
        <is>
          <t>22.04.2026 15:08:14</t>
        </is>
      </c>
      <c r="N36" t="inlineStr">
        <is>
          <t>Ожидается промежуточная подпись</t>
        </is>
      </c>
      <c r="O36" t="inlineStr"/>
      <c r="P36" t="inlineStr">
        <is>
          <t>22.04.2026 15:08:14</t>
        </is>
      </c>
      <c r="Q36" t="inlineStr">
        <is>
          <t xml:space="preserve">Головное подразделение -&gt; BizDev (А. Данилина) </t>
        </is>
      </c>
      <c r="R36" t="inlineStr"/>
      <c r="S3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6" t="inlineStr">
        <is>
          <t>https://diadoc.kontur.ru/4100c1d3-2464-4c71-95cc-21ba90d0c907/Document/Show?letterId=65c7d854-9ff8-46a8-b12e-4561be01ec77&amp;documentId=f8e87405-0671-4a18-8188-474f63d81cdd</t>
        </is>
      </c>
      <c r="U36" t="inlineStr"/>
      <c r="V36" t="inlineStr">
        <is>
          <t>2BM-7813286694-781301001-201808091253388026694</t>
        </is>
      </c>
    </row>
    <row r="37">
      <c r="A37">
        <f>"1106010917"</f>
        <v/>
      </c>
      <c r="B37">
        <f>"771401001"</f>
        <v/>
      </c>
      <c r="C37" t="inlineStr">
        <is>
          <t>ООО "АКС"</t>
        </is>
      </c>
      <c r="D37" t="inlineStr">
        <is>
          <t>Доп. соглашение №LBO-LE-1106010917 от 21.04.26</t>
        </is>
      </c>
      <c r="E37">
        <f>"LBO-LE-1106010917"</f>
        <v/>
      </c>
      <c r="F37" t="inlineStr">
        <is>
          <t>21.04.2026</t>
        </is>
      </c>
      <c r="G37" t="inlineStr"/>
      <c r="H37" t="inlineStr">
        <is>
          <t>RUB - Российский рубль</t>
        </is>
      </c>
      <c r="I37" t="inlineStr"/>
      <c r="J37" t="inlineStr"/>
      <c r="K37" t="inlineStr"/>
      <c r="L37" t="inlineStr"/>
      <c r="M37" t="inlineStr">
        <is>
          <t>22.04.2026 15:08:17</t>
        </is>
      </c>
      <c r="N37" t="inlineStr">
        <is>
          <t>Ожидается промежуточная подпись</t>
        </is>
      </c>
      <c r="O37" t="inlineStr"/>
      <c r="P37" t="inlineStr">
        <is>
          <t>22.04.2026 15:08:17</t>
        </is>
      </c>
      <c r="Q37" t="inlineStr">
        <is>
          <t xml:space="preserve">Головное подразделение -&gt; BizDev (А. Данилина) </t>
        </is>
      </c>
      <c r="R37" t="inlineStr"/>
      <c r="S3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7" t="inlineStr">
        <is>
          <t>https://diadoc.kontur.ru/4100c1d3-2464-4c71-95cc-21ba90d0c907/Document/Show?letterId=97cf189a-9d0f-4baf-bac2-99f6f282ab5d&amp;documentId=d15bd043-2a7b-4418-bbfd-1b44e8b2deb9</t>
        </is>
      </c>
      <c r="U37" t="inlineStr"/>
      <c r="V37" t="inlineStr">
        <is>
          <t>2BM-1106010917-110601001-201506250750435011955</t>
        </is>
      </c>
    </row>
    <row r="38">
      <c r="A38">
        <f>"7203518506"</f>
        <v/>
      </c>
      <c r="B38">
        <f>"720301001"</f>
        <v/>
      </c>
      <c r="C38" t="inlineStr">
        <is>
          <t>ООО "СЛАЙДЕР ПРЕЗЕНТАЦИИ"</t>
        </is>
      </c>
      <c r="D38" t="inlineStr">
        <is>
          <t>Доп. соглашение №LBO-LE-7203518506 от 21.04.26</t>
        </is>
      </c>
      <c r="E38">
        <f>"LBO-LE-7203518506"</f>
        <v/>
      </c>
      <c r="F38" t="inlineStr">
        <is>
          <t>21.04.2026</t>
        </is>
      </c>
      <c r="G38" t="inlineStr"/>
      <c r="H38" t="inlineStr">
        <is>
          <t>RUB - Российский рубль</t>
        </is>
      </c>
      <c r="I38" t="inlineStr"/>
      <c r="J38" t="inlineStr"/>
      <c r="K38" t="inlineStr"/>
      <c r="L38" t="inlineStr"/>
      <c r="M38" t="inlineStr">
        <is>
          <t>22.04.2026 15:08:17</t>
        </is>
      </c>
      <c r="N38" t="inlineStr">
        <is>
          <t>Ожидается промежуточная подпись</t>
        </is>
      </c>
      <c r="O38" t="inlineStr"/>
      <c r="P38" t="inlineStr">
        <is>
          <t>22.04.2026 15:08:17</t>
        </is>
      </c>
      <c r="Q38" t="inlineStr">
        <is>
          <t xml:space="preserve">Головное подразделение -&gt; BizDev (А. Данилина) </t>
        </is>
      </c>
      <c r="R38" t="inlineStr"/>
      <c r="S3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8" t="inlineStr">
        <is>
          <t>https://diadoc.kontur.ru/4100c1d3-2464-4c71-95cc-21ba90d0c907/Document/Show?letterId=61218573-0e48-4151-a401-1ea87e35aa37&amp;documentId=a42f4a5b-0cbd-4a8e-8897-14a0ef1fa89b</t>
        </is>
      </c>
      <c r="U38" t="inlineStr"/>
      <c r="V38" t="inlineStr">
        <is>
          <t>2BM-7203518506-720301001-202205301005006799187</t>
        </is>
      </c>
    </row>
    <row r="39">
      <c r="A39">
        <f>"7708328948"</f>
        <v/>
      </c>
      <c r="B39">
        <f>"770801001"</f>
        <v/>
      </c>
      <c r="C39" t="inlineStr">
        <is>
          <t>ООО "ЗВУК"</t>
        </is>
      </c>
      <c r="D39" t="inlineStr">
        <is>
          <t>Доп. соглашение №LBO-LE-7708328948 от 21.04.26</t>
        </is>
      </c>
      <c r="E39">
        <f>"LBO-LE-7708328948"</f>
        <v/>
      </c>
      <c r="F39" t="inlineStr">
        <is>
          <t>21.04.2026</t>
        </is>
      </c>
      <c r="G39" t="inlineStr"/>
      <c r="H39" t="inlineStr">
        <is>
          <t>RUB - Российский рубль</t>
        </is>
      </c>
      <c r="I39" t="inlineStr"/>
      <c r="J39" t="inlineStr"/>
      <c r="K39" t="inlineStr"/>
      <c r="L39" t="inlineStr"/>
      <c r="M39" t="inlineStr">
        <is>
          <t>22.04.2026 15:08:17</t>
        </is>
      </c>
      <c r="N39" t="inlineStr">
        <is>
          <t>Ожидается промежуточная подпись</t>
        </is>
      </c>
      <c r="O39" t="inlineStr"/>
      <c r="P39" t="inlineStr">
        <is>
          <t>22.04.2026 15:08:17</t>
        </is>
      </c>
      <c r="Q39" t="inlineStr">
        <is>
          <t xml:space="preserve">Головное подразделение -&gt; BizDev (А. Данилина) </t>
        </is>
      </c>
      <c r="R39" t="inlineStr"/>
      <c r="S3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39" t="inlineStr">
        <is>
          <t>https://diadoc.kontur.ru/4100c1d3-2464-4c71-95cc-21ba90d0c907/Document/Show?letterId=02cf6236-5056-4b1a-ac32-a813f2646409&amp;documentId=2cfaa4a1-9ed3-4e37-9177-641418b3a3a5</t>
        </is>
      </c>
      <c r="U39" t="inlineStr"/>
      <c r="V39" t="inlineStr">
        <is>
          <t>2BM-7708328948-770801001-201802150551001262544</t>
        </is>
      </c>
    </row>
    <row r="40">
      <c r="A40">
        <f>"5047243826"</f>
        <v/>
      </c>
      <c r="B40">
        <f>"504701001"</f>
        <v/>
      </c>
      <c r="C40" t="inlineStr">
        <is>
          <t>ООО "КД-СИСТЕМС"</t>
        </is>
      </c>
      <c r="D40" t="inlineStr">
        <is>
          <t>Доп. соглашение №LBO-LE-5047243826 от 21.04.26</t>
        </is>
      </c>
      <c r="E40">
        <f>"LBO-LE-5047243826"</f>
        <v/>
      </c>
      <c r="F40" t="inlineStr">
        <is>
          <t>21.04.2026</t>
        </is>
      </c>
      <c r="G40" t="inlineStr"/>
      <c r="H40" t="inlineStr">
        <is>
          <t>RUB - Российский рубль</t>
        </is>
      </c>
      <c r="I40" t="inlineStr"/>
      <c r="J40" t="inlineStr"/>
      <c r="K40" t="inlineStr"/>
      <c r="L40" t="inlineStr"/>
      <c r="M40" t="inlineStr">
        <is>
          <t>22.04.2026 15:08:17</t>
        </is>
      </c>
      <c r="N40" t="inlineStr">
        <is>
          <t>Ожидается промежуточная подпись</t>
        </is>
      </c>
      <c r="O40" t="inlineStr"/>
      <c r="P40" t="inlineStr">
        <is>
          <t>22.04.2026 15:08:17</t>
        </is>
      </c>
      <c r="Q40" t="inlineStr">
        <is>
          <t xml:space="preserve">Головное подразделение -&gt; BizDev (А. Данилина) </t>
        </is>
      </c>
      <c r="R40" t="inlineStr"/>
      <c r="S4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0" t="inlineStr">
        <is>
          <t>https://diadoc.kontur.ru/4100c1d3-2464-4c71-95cc-21ba90d0c907/Document/Show?letterId=4700d11c-9eca-44c4-8636-a92e6c8092d3&amp;documentId=baa26fdb-3f35-49fe-bec8-0e65a3ac86fe</t>
        </is>
      </c>
      <c r="U40" t="inlineStr"/>
      <c r="V40" t="inlineStr">
        <is>
          <t>2BM-5047243826-504701001-202011120905120310334</t>
        </is>
      </c>
    </row>
    <row r="41">
      <c r="A41">
        <f>"7736227885"</f>
        <v/>
      </c>
      <c r="B41">
        <f>"774950001"</f>
        <v/>
      </c>
      <c r="C41" t="inlineStr">
        <is>
          <t>ПАО "СОФТЛАЙН"</t>
        </is>
      </c>
      <c r="D41" t="inlineStr">
        <is>
          <t>Доп. соглашение №LBO-LE-7736227885 от 21.04.26</t>
        </is>
      </c>
      <c r="E41">
        <f>"LBO-LE-7736227885"</f>
        <v/>
      </c>
      <c r="F41" t="inlineStr">
        <is>
          <t>21.04.2026</t>
        </is>
      </c>
      <c r="G41" t="inlineStr"/>
      <c r="H41" t="inlineStr">
        <is>
          <t>RUB - Российский рубль</t>
        </is>
      </c>
      <c r="I41" t="inlineStr"/>
      <c r="J41" t="inlineStr"/>
      <c r="K41" t="inlineStr"/>
      <c r="L41" t="inlineStr"/>
      <c r="M41" t="inlineStr">
        <is>
          <t>22.04.2026 15:08:17</t>
        </is>
      </c>
      <c r="N41" t="inlineStr">
        <is>
          <t>Ожидается промежуточная подпись</t>
        </is>
      </c>
      <c r="O41" t="inlineStr"/>
      <c r="P41" t="inlineStr">
        <is>
          <t>22.04.2026 15:08:17</t>
        </is>
      </c>
      <c r="Q41" t="inlineStr">
        <is>
          <t xml:space="preserve">Головное подразделение -&gt; BizDev (А. Данилина) </t>
        </is>
      </c>
      <c r="R41" t="inlineStr"/>
      <c r="S4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1" t="inlineStr">
        <is>
          <t>https://diadoc.kontur.ru/4100c1d3-2464-4c71-95cc-21ba90d0c907/Document/Show?letterId=d3fb0060-86fd-4be9-a622-a982e81e88d5&amp;documentId=ebbc9b66-2caa-4378-85d6-1f2efd5f85ea</t>
        </is>
      </c>
      <c r="U41" t="inlineStr"/>
      <c r="V41" t="inlineStr">
        <is>
          <t>2BM-7736227885-2012052807543104095070000000000</t>
        </is>
      </c>
    </row>
    <row r="42">
      <c r="A42">
        <f>"1615014289"</f>
        <v/>
      </c>
      <c r="B42">
        <f>"161501001"</f>
        <v/>
      </c>
      <c r="C42" t="inlineStr">
        <is>
          <t>ООО "ИТ ИКС 5 ТЕХНОЛОГИИ"</t>
        </is>
      </c>
      <c r="D42" t="inlineStr">
        <is>
          <t>Доп. соглашение №LBO-LE-1615014289 от 21.04.26</t>
        </is>
      </c>
      <c r="E42">
        <f>"LBO-LE-1615014289"</f>
        <v/>
      </c>
      <c r="F42" t="inlineStr">
        <is>
          <t>21.04.2026</t>
        </is>
      </c>
      <c r="G42" t="inlineStr"/>
      <c r="H42" t="inlineStr">
        <is>
          <t>RUB - Российский рубль</t>
        </is>
      </c>
      <c r="I42" t="inlineStr"/>
      <c r="J42" t="inlineStr"/>
      <c r="K42" t="inlineStr"/>
      <c r="L42" t="inlineStr"/>
      <c r="M42" t="inlineStr">
        <is>
          <t>22.04.2026 15:08:17</t>
        </is>
      </c>
      <c r="N42" t="inlineStr">
        <is>
          <t>Ожидается промежуточная подпись</t>
        </is>
      </c>
      <c r="O42" t="inlineStr"/>
      <c r="P42" t="inlineStr">
        <is>
          <t>22.04.2026 15:08:17</t>
        </is>
      </c>
      <c r="Q42" t="inlineStr">
        <is>
          <t xml:space="preserve">Головное подразделение -&gt; BizDev (А. Данилина) </t>
        </is>
      </c>
      <c r="R42" t="inlineStr"/>
      <c r="S4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2" t="inlineStr">
        <is>
          <t>https://diadoc.kontur.ru/4100c1d3-2464-4c71-95cc-21ba90d0c907/Document/Show?letterId=f21da06f-4fdc-4de5-8b57-c1223069eefe&amp;documentId=09556b58-ceb6-4608-818a-dc8fef8957d4</t>
        </is>
      </c>
      <c r="U42" t="inlineStr"/>
      <c r="V42" t="inlineStr">
        <is>
          <t>2BM-1615014289-161501001-201901211133246821673</t>
        </is>
      </c>
    </row>
    <row r="43">
      <c r="A43">
        <f>"7703435262"</f>
        <v/>
      </c>
      <c r="B43">
        <f>"772501001"</f>
        <v/>
      </c>
      <c r="C43" t="inlineStr">
        <is>
          <t>ООО "РЭДМЭДРОБОТ МСК"</t>
        </is>
      </c>
      <c r="D43" t="inlineStr">
        <is>
          <t>Доп. соглашение №LBO-LE-7703435262 от 21.04.26</t>
        </is>
      </c>
      <c r="E43">
        <f>"LBO-LE-7703435262"</f>
        <v/>
      </c>
      <c r="F43" t="inlineStr">
        <is>
          <t>21.04.2026</t>
        </is>
      </c>
      <c r="G43" t="inlineStr"/>
      <c r="H43" t="inlineStr">
        <is>
          <t>RUB - Российский рубль</t>
        </is>
      </c>
      <c r="I43" t="inlineStr"/>
      <c r="J43" t="inlineStr"/>
      <c r="K43" t="inlineStr"/>
      <c r="L43" t="inlineStr"/>
      <c r="M43" t="inlineStr">
        <is>
          <t>22.04.2026 15:08:17</t>
        </is>
      </c>
      <c r="N43" t="inlineStr">
        <is>
          <t>Ожидается промежуточная подпись</t>
        </is>
      </c>
      <c r="O43" t="inlineStr"/>
      <c r="P43" t="inlineStr">
        <is>
          <t>22.04.2026 15:08:17</t>
        </is>
      </c>
      <c r="Q43" t="inlineStr">
        <is>
          <t xml:space="preserve">Головное подразделение -&gt; BizDev (А. Данилина) </t>
        </is>
      </c>
      <c r="R43" t="inlineStr"/>
      <c r="S4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3" t="inlineStr">
        <is>
          <t>https://diadoc.kontur.ru/4100c1d3-2464-4c71-95cc-21ba90d0c907/Document/Show?letterId=ac32a4e1-7f0b-4077-8322-5c689a2628fc&amp;documentId=5e0e00ef-3d29-4485-8fab-9dcf7f374a9b</t>
        </is>
      </c>
      <c r="U43" t="inlineStr"/>
      <c r="V43" t="inlineStr">
        <is>
          <t>2BM-7703435262-770301001-201712180811074854645</t>
        </is>
      </c>
    </row>
    <row r="44">
      <c r="A44">
        <f>"5408130693"</f>
        <v/>
      </c>
      <c r="B44">
        <f>"997350001"</f>
        <v/>
      </c>
      <c r="C44" t="inlineStr">
        <is>
          <t>АО НПК "КАТРЕН"</t>
        </is>
      </c>
      <c r="D44" t="inlineStr">
        <is>
          <t>Доп. соглашение №LBO-LE-5408130693 от 21.04.26</t>
        </is>
      </c>
      <c r="E44">
        <f>"LBO-LE-5408130693"</f>
        <v/>
      </c>
      <c r="F44" t="inlineStr">
        <is>
          <t>21.04.2026</t>
        </is>
      </c>
      <c r="G44" t="inlineStr"/>
      <c r="H44" t="inlineStr">
        <is>
          <t>RUB - Российский рубль</t>
        </is>
      </c>
      <c r="I44" t="inlineStr"/>
      <c r="J44" t="inlineStr"/>
      <c r="K44" t="inlineStr"/>
      <c r="L44" t="inlineStr"/>
      <c r="M44" t="inlineStr">
        <is>
          <t>22.04.2026 15:08:17</t>
        </is>
      </c>
      <c r="N44" t="inlineStr">
        <is>
          <t>Ожидается промежуточная подпись</t>
        </is>
      </c>
      <c r="O44" t="inlineStr"/>
      <c r="P44" t="inlineStr">
        <is>
          <t>22.04.2026 15:08:17</t>
        </is>
      </c>
      <c r="Q44" t="inlineStr">
        <is>
          <t xml:space="preserve">Головное подразделение -&gt; BizDev (А. Данилина) </t>
        </is>
      </c>
      <c r="R44" t="inlineStr"/>
      <c r="S4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4" t="inlineStr">
        <is>
          <t>https://diadoc.kontur.ru/4100c1d3-2464-4c71-95cc-21ba90d0c907/Document/Show?letterId=28afdb72-0e51-4d63-bc8a-8949714517fa&amp;documentId=3b1b852c-f25a-4e96-8559-93d091ce88a8</t>
        </is>
      </c>
      <c r="U44" t="inlineStr"/>
      <c r="V44" t="inlineStr">
        <is>
          <t>2BM-5408130693-2012052807483620086810000000000</t>
        </is>
      </c>
    </row>
    <row r="45">
      <c r="A45">
        <f>"7839438486"</f>
        <v/>
      </c>
      <c r="B45">
        <f>"780201001"</f>
        <v/>
      </c>
      <c r="C45" t="inlineStr">
        <is>
          <t>ООО "ЦРТ-инновации"</t>
        </is>
      </c>
      <c r="D45" t="inlineStr">
        <is>
          <t>Доп. соглашение №LBO-LE-7839438486 от 21.04.26</t>
        </is>
      </c>
      <c r="E45">
        <f>"LBO-LE-7839438486"</f>
        <v/>
      </c>
      <c r="F45" t="inlineStr">
        <is>
          <t>21.04.2026</t>
        </is>
      </c>
      <c r="G45" t="inlineStr"/>
      <c r="H45" t="inlineStr">
        <is>
          <t>RUB - Российский рубль</t>
        </is>
      </c>
      <c r="I45" t="inlineStr"/>
      <c r="J45" t="inlineStr"/>
      <c r="K45" t="inlineStr"/>
      <c r="L45" t="inlineStr"/>
      <c r="M45" t="inlineStr">
        <is>
          <t>22.04.2026 15:08:17</t>
        </is>
      </c>
      <c r="N45" t="inlineStr">
        <is>
          <t>Ожидается промежуточная подпись</t>
        </is>
      </c>
      <c r="O45" t="inlineStr"/>
      <c r="P45" t="inlineStr">
        <is>
          <t>22.04.2026 15:08:17</t>
        </is>
      </c>
      <c r="Q45" t="inlineStr">
        <is>
          <t xml:space="preserve">Головное подразделение -&gt; BizDev (А. Данилина) </t>
        </is>
      </c>
      <c r="R45" t="inlineStr"/>
      <c r="S4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5" t="inlineStr">
        <is>
          <t>https://diadoc.kontur.ru/4100c1d3-2464-4c71-95cc-21ba90d0c907/Document/Show?letterId=33aff07c-db41-4461-bdec-9a496609515f&amp;documentId=22496147-ca1c-49b9-b332-3e8dc8f56188</t>
        </is>
      </c>
      <c r="U45" t="inlineStr"/>
      <c r="V45" t="inlineStr">
        <is>
          <t>2BM-7839438486-783901001-201603160113040841825</t>
        </is>
      </c>
    </row>
    <row r="46">
      <c r="A46">
        <f>"1835056809"</f>
        <v/>
      </c>
      <c r="B46">
        <f>"184001001"</f>
        <v/>
      </c>
      <c r="C46" t="inlineStr">
        <is>
          <t>ООО "ДИРЕКТУМ"</t>
        </is>
      </c>
      <c r="D46" t="inlineStr">
        <is>
          <t>Доп. соглашение №LBO-LE-1835056809 от 21.04.26</t>
        </is>
      </c>
      <c r="E46">
        <f>"LBO-LE-1835056809"</f>
        <v/>
      </c>
      <c r="F46" t="inlineStr">
        <is>
          <t>21.04.2026</t>
        </is>
      </c>
      <c r="G46" t="inlineStr"/>
      <c r="H46" t="inlineStr">
        <is>
          <t>RUB - Российский рубль</t>
        </is>
      </c>
      <c r="I46" t="inlineStr"/>
      <c r="J46" t="inlineStr"/>
      <c r="K46" t="inlineStr"/>
      <c r="L46" t="inlineStr"/>
      <c r="M46" t="inlineStr">
        <is>
          <t>22.04.2026 15:08:17</t>
        </is>
      </c>
      <c r="N46" t="inlineStr">
        <is>
          <t>Ожидается промежуточная подпись</t>
        </is>
      </c>
      <c r="O46" t="inlineStr"/>
      <c r="P46" t="inlineStr">
        <is>
          <t>22.04.2026 15:08:17</t>
        </is>
      </c>
      <c r="Q46" t="inlineStr">
        <is>
          <t xml:space="preserve">Головное подразделение -&gt; BizDev (А. Данилина) </t>
        </is>
      </c>
      <c r="R46" t="inlineStr"/>
      <c r="S4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6" t="inlineStr">
        <is>
          <t>https://diadoc.kontur.ru/4100c1d3-2464-4c71-95cc-21ba90d0c907/Document/Show?letterId=ad48981f-3dfa-4d6e-8c09-88a457f694d3&amp;documentId=f74b5e84-ae72-40f6-826a-7e9b89cfa104</t>
        </is>
      </c>
      <c r="U46" t="inlineStr"/>
      <c r="V46" t="inlineStr">
        <is>
          <t>2BM-1835056809-184001001-202110091026132627344</t>
        </is>
      </c>
    </row>
    <row r="47">
      <c r="A47">
        <f>"7702609477"</f>
        <v/>
      </c>
      <c r="B47">
        <f>"774301001"</f>
        <v/>
      </c>
      <c r="C47" t="inlineStr">
        <is>
          <t>ООО "ЮНИСТАР ДИДЖИТАЛ"</t>
        </is>
      </c>
      <c r="D47" t="inlineStr">
        <is>
          <t>Доп. соглашение №LBO-LE-7702609477 от 21.04.26</t>
        </is>
      </c>
      <c r="E47">
        <f>"LBO-LE-7702609477"</f>
        <v/>
      </c>
      <c r="F47" t="inlineStr">
        <is>
          <t>21.04.2026</t>
        </is>
      </c>
      <c r="G47" t="inlineStr"/>
      <c r="H47" t="inlineStr">
        <is>
          <t>RUB - Российский рубль</t>
        </is>
      </c>
      <c r="I47" t="inlineStr"/>
      <c r="J47" t="inlineStr"/>
      <c r="K47" t="inlineStr"/>
      <c r="L47" t="inlineStr"/>
      <c r="M47" t="inlineStr">
        <is>
          <t>22.04.2026 15:08:17</t>
        </is>
      </c>
      <c r="N47" t="inlineStr">
        <is>
          <t>Ожидается промежуточная подпись</t>
        </is>
      </c>
      <c r="O47" t="inlineStr"/>
      <c r="P47" t="inlineStr">
        <is>
          <t>22.04.2026 15:08:17</t>
        </is>
      </c>
      <c r="Q47" t="inlineStr">
        <is>
          <t xml:space="preserve">Головное подразделение -&gt; BizDev (А. Данилина) </t>
        </is>
      </c>
      <c r="R47" t="inlineStr"/>
      <c r="S4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7" t="inlineStr">
        <is>
          <t>https://diadoc.kontur.ru/4100c1d3-2464-4c71-95cc-21ba90d0c907/Document/Show?letterId=cc34e782-c544-4989-a1c5-cd71f6a24e54&amp;documentId=efaeeff6-1b68-4e15-85b2-5bddf9892ca0</t>
        </is>
      </c>
      <c r="U47" t="inlineStr"/>
      <c r="V47" t="inlineStr">
        <is>
          <t>2BM-7702609477-2013022203142863982470000000000</t>
        </is>
      </c>
    </row>
    <row r="48">
      <c r="A48">
        <f>"7725745476"</f>
        <v/>
      </c>
      <c r="B48">
        <f>"772501001"</f>
        <v/>
      </c>
      <c r="C48" t="inlineStr">
        <is>
          <t>ООО "Живой Сайт"</t>
        </is>
      </c>
      <c r="D48" t="inlineStr">
        <is>
          <t>Доп. соглашение №LBO-LE-7725745476 от 21.04.26</t>
        </is>
      </c>
      <c r="E48">
        <f>"LBO-LE-7725745476"</f>
        <v/>
      </c>
      <c r="F48" t="inlineStr">
        <is>
          <t>21.04.2026</t>
        </is>
      </c>
      <c r="G48" t="inlineStr"/>
      <c r="H48" t="inlineStr">
        <is>
          <t>RUB - Российский рубль</t>
        </is>
      </c>
      <c r="I48" t="inlineStr"/>
      <c r="J48" t="inlineStr"/>
      <c r="K48" t="inlineStr"/>
      <c r="L48" t="inlineStr"/>
      <c r="M48" t="inlineStr">
        <is>
          <t>22.04.2026 15:08:17</t>
        </is>
      </c>
      <c r="N48" t="inlineStr">
        <is>
          <t>Ожидается промежуточная подпись</t>
        </is>
      </c>
      <c r="O48" t="inlineStr"/>
      <c r="P48" t="inlineStr">
        <is>
          <t>22.04.2026 15:08:17</t>
        </is>
      </c>
      <c r="Q48" t="inlineStr">
        <is>
          <t xml:space="preserve">Головное подразделение -&gt; BizDev (А. Данилина) </t>
        </is>
      </c>
      <c r="R48" t="inlineStr"/>
      <c r="S4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8" t="inlineStr">
        <is>
          <t>https://diadoc.kontur.ru/4100c1d3-2464-4c71-95cc-21ba90d0c907/Document/Show?letterId=0b538d0b-e8a1-48a0-9ca9-465ddf205cf6&amp;documentId=9c452848-2a71-4064-8c6e-667e3220dadd</t>
        </is>
      </c>
      <c r="U48" t="inlineStr"/>
      <c r="V48" t="inlineStr">
        <is>
          <t>2BM-7725745476-2012100101543217793580000000000</t>
        </is>
      </c>
    </row>
    <row r="49">
      <c r="A49">
        <f>"7702596813"</f>
        <v/>
      </c>
      <c r="B49">
        <f>"390601001"</f>
        <v/>
      </c>
      <c r="C49" t="inlineStr">
        <is>
          <t>ООО "Бауцентр Рус"</t>
        </is>
      </c>
      <c r="D49" t="inlineStr">
        <is>
          <t>Доп. соглашение №LBO-LE-7702596813 от 21.04.26</t>
        </is>
      </c>
      <c r="E49">
        <f>"LBO-LE-7702596813"</f>
        <v/>
      </c>
      <c r="F49" t="inlineStr">
        <is>
          <t>21.04.2026</t>
        </is>
      </c>
      <c r="G49" t="inlineStr"/>
      <c r="H49" t="inlineStr">
        <is>
          <t>RUB - Российский рубль</t>
        </is>
      </c>
      <c r="I49" t="inlineStr"/>
      <c r="J49" t="inlineStr"/>
      <c r="K49" t="inlineStr"/>
      <c r="L49" t="inlineStr"/>
      <c r="M49" t="inlineStr">
        <is>
          <t>22.04.2026 15:08:17</t>
        </is>
      </c>
      <c r="N49" t="inlineStr">
        <is>
          <t>Ожидается промежуточная подпись</t>
        </is>
      </c>
      <c r="O49" t="inlineStr"/>
      <c r="P49" t="inlineStr">
        <is>
          <t>22.04.2026 15:08:17</t>
        </is>
      </c>
      <c r="Q49" t="inlineStr">
        <is>
          <t xml:space="preserve">Головное подразделение -&gt; BizDev (А. Данилина) </t>
        </is>
      </c>
      <c r="R49" t="inlineStr"/>
      <c r="S4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49" t="inlineStr">
        <is>
          <t>https://diadoc.kontur.ru/4100c1d3-2464-4c71-95cc-21ba90d0c907/Document/Show?letterId=6b3acb60-c91c-4b56-981b-ab967e41e922&amp;documentId=d30c6f26-2ed1-499d-96a4-f04236f5b5bf</t>
        </is>
      </c>
      <c r="U49" t="inlineStr"/>
      <c r="V49" t="inlineStr">
        <is>
          <t>2BM-7702596813-2012052807321437821080000000000</t>
        </is>
      </c>
    </row>
    <row r="50">
      <c r="A50">
        <f>"6320075951"</f>
        <v/>
      </c>
      <c r="B50">
        <f>"632001001"</f>
        <v/>
      </c>
      <c r="C50" t="inlineStr">
        <is>
          <t>ООО "РУТКОД АЙТИ ДЕВЕЛОПМЕНТ"</t>
        </is>
      </c>
      <c r="D50" t="inlineStr">
        <is>
          <t>Доп. соглашение №LBO-LE-6320075951 от 21.04.26</t>
        </is>
      </c>
      <c r="E50">
        <f>"LBO-LE-6320075951"</f>
        <v/>
      </c>
      <c r="F50" t="inlineStr">
        <is>
          <t>21.04.2026</t>
        </is>
      </c>
      <c r="G50" t="inlineStr"/>
      <c r="H50" t="inlineStr">
        <is>
          <t>RUB - Российский рубль</t>
        </is>
      </c>
      <c r="I50" t="inlineStr"/>
      <c r="J50" t="inlineStr"/>
      <c r="K50" t="inlineStr"/>
      <c r="L50" t="inlineStr"/>
      <c r="M50" t="inlineStr">
        <is>
          <t>22.04.2026 15:08:17</t>
        </is>
      </c>
      <c r="N50" t="inlineStr">
        <is>
          <t>Ожидается промежуточная подпись</t>
        </is>
      </c>
      <c r="O50" t="inlineStr"/>
      <c r="P50" t="inlineStr">
        <is>
          <t>22.04.2026 15:08:17</t>
        </is>
      </c>
      <c r="Q50" t="inlineStr">
        <is>
          <t xml:space="preserve">Головное подразделение -&gt; BizDev (А. Данилина) </t>
        </is>
      </c>
      <c r="R50" t="inlineStr"/>
      <c r="S5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0" t="inlineStr">
        <is>
          <t>https://diadoc.kontur.ru/4100c1d3-2464-4c71-95cc-21ba90d0c907/Document/Show?letterId=55a070a1-67cc-4ffa-89cf-3852dd3cab82&amp;documentId=4f6856d2-a450-46e6-a617-44f3777b8a63</t>
        </is>
      </c>
      <c r="U50" t="inlineStr"/>
      <c r="V50" t="inlineStr">
        <is>
          <t>2BM-6320075951-632001001-202308080848322867126</t>
        </is>
      </c>
    </row>
    <row r="51">
      <c r="A51">
        <f>"7709969870"</f>
        <v/>
      </c>
      <c r="B51">
        <f>"770901001"</f>
        <v/>
      </c>
      <c r="C51" t="inlineStr">
        <is>
          <t>ООО "РДВ-СОФТ"</t>
        </is>
      </c>
      <c r="D51" t="inlineStr">
        <is>
          <t>Доп. соглашение №LBO-LE-7709969870 от 21.04.26</t>
        </is>
      </c>
      <c r="E51">
        <f>"LBO-LE-7709969870"</f>
        <v/>
      </c>
      <c r="F51" t="inlineStr">
        <is>
          <t>21.04.2026</t>
        </is>
      </c>
      <c r="G51" t="inlineStr"/>
      <c r="H51" t="inlineStr">
        <is>
          <t>RUB - Российский рубль</t>
        </is>
      </c>
      <c r="I51" t="inlineStr"/>
      <c r="J51" t="inlineStr"/>
      <c r="K51" t="inlineStr"/>
      <c r="L51" t="inlineStr"/>
      <c r="M51" t="inlineStr">
        <is>
          <t>22.04.2026 15:08:17</t>
        </is>
      </c>
      <c r="N51" t="inlineStr">
        <is>
          <t>Ожидается промежуточная подпись</t>
        </is>
      </c>
      <c r="O51" t="inlineStr"/>
      <c r="P51" t="inlineStr">
        <is>
          <t>22.04.2026 15:08:17</t>
        </is>
      </c>
      <c r="Q51" t="inlineStr">
        <is>
          <t xml:space="preserve">Головное подразделение -&gt; BizDev (А. Данилина) </t>
        </is>
      </c>
      <c r="R51" t="inlineStr"/>
      <c r="S5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1" t="inlineStr">
        <is>
          <t>https://diadoc.kontur.ru/4100c1d3-2464-4c71-95cc-21ba90d0c907/Document/Show?letterId=fffcedeb-d9ea-4ef7-83b8-f528b9e902b2&amp;documentId=baea60e1-9b24-4764-9911-3a1c33af99d7</t>
        </is>
      </c>
      <c r="U51" t="inlineStr"/>
      <c r="V51" t="inlineStr">
        <is>
          <t>2BM-7709969870-770901001-201606300436327193051</t>
        </is>
      </c>
    </row>
    <row r="52">
      <c r="A52">
        <f>"9709054813"</f>
        <v/>
      </c>
      <c r="B52">
        <f>"771401001"</f>
        <v/>
      </c>
      <c r="C52" t="inlineStr">
        <is>
          <t>ООО "СБЕРАВТО"</t>
        </is>
      </c>
      <c r="D52" t="inlineStr">
        <is>
          <t>Доп. соглашение №LBO-LE-9709054813 от 21.04.26</t>
        </is>
      </c>
      <c r="E52">
        <f>"LBO-LE-9709054813"</f>
        <v/>
      </c>
      <c r="F52" t="inlineStr">
        <is>
          <t>21.04.2026</t>
        </is>
      </c>
      <c r="G52" t="inlineStr"/>
      <c r="H52" t="inlineStr">
        <is>
          <t>RUB - Российский рубль</t>
        </is>
      </c>
      <c r="I52" t="inlineStr"/>
      <c r="J52" t="inlineStr"/>
      <c r="K52" t="inlineStr"/>
      <c r="L52" t="inlineStr"/>
      <c r="M52" t="inlineStr">
        <is>
          <t>22.04.2026 15:08:17</t>
        </is>
      </c>
      <c r="N52" t="inlineStr">
        <is>
          <t>Ожидается промежуточная подпись</t>
        </is>
      </c>
      <c r="O52" t="inlineStr"/>
      <c r="P52" t="inlineStr">
        <is>
          <t>22.04.2026 15:08:17</t>
        </is>
      </c>
      <c r="Q52" t="inlineStr">
        <is>
          <t xml:space="preserve">Головное подразделение -&gt; BizDev (А. Данилина) </t>
        </is>
      </c>
      <c r="R52" t="inlineStr"/>
      <c r="S5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2" t="inlineStr">
        <is>
          <t>https://diadoc.kontur.ru/4100c1d3-2464-4c71-95cc-21ba90d0c907/Document/Show?letterId=0964e641-2fa1-4e4d-b529-1d7b00e26280&amp;documentId=42bdd24a-6305-45d0-a922-ac59d38316ea</t>
        </is>
      </c>
      <c r="U52" t="inlineStr"/>
      <c r="V52" t="inlineStr">
        <is>
          <t>2BM-9709054813-770901001-201911270307241702695</t>
        </is>
      </c>
    </row>
    <row r="53">
      <c r="A53">
        <f>"9705118142"</f>
        <v/>
      </c>
      <c r="B53">
        <f>"775101001"</f>
        <v/>
      </c>
      <c r="C53" t="inlineStr">
        <is>
          <t>ООО "ИНСТАМАРТ СЕРВИС"</t>
        </is>
      </c>
      <c r="D53" t="inlineStr">
        <is>
          <t>Доп. соглашение №LBO-LE-9705118142 от 21.04.26</t>
        </is>
      </c>
      <c r="E53">
        <f>"LBO-LE-9705118142"</f>
        <v/>
      </c>
      <c r="F53" t="inlineStr">
        <is>
          <t>21.04.2026</t>
        </is>
      </c>
      <c r="G53" t="inlineStr"/>
      <c r="H53" t="inlineStr">
        <is>
          <t>RUB - Российский рубль</t>
        </is>
      </c>
      <c r="I53" t="inlineStr"/>
      <c r="J53" t="inlineStr"/>
      <c r="K53" t="inlineStr"/>
      <c r="L53" t="inlineStr"/>
      <c r="M53" t="inlineStr">
        <is>
          <t>22.04.2026 15:08:17</t>
        </is>
      </c>
      <c r="N53" t="inlineStr">
        <is>
          <t>Ожидается промежуточная подпись</t>
        </is>
      </c>
      <c r="O53" t="inlineStr"/>
      <c r="P53" t="inlineStr">
        <is>
          <t>22.04.2026 15:08:17</t>
        </is>
      </c>
      <c r="Q53" t="inlineStr">
        <is>
          <t xml:space="preserve">Головное подразделение -&gt; BizDev (А. Данилина) </t>
        </is>
      </c>
      <c r="R53" t="inlineStr"/>
      <c r="S5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3" t="inlineStr">
        <is>
          <t>https://diadoc.kontur.ru/4100c1d3-2464-4c71-95cc-21ba90d0c907/Document/Show?letterId=7ae6dcdb-7528-4fec-bac9-9f468e9a1308&amp;documentId=774cfa72-9e67-498c-97a3-645f4c99cdd5</t>
        </is>
      </c>
      <c r="U53" t="inlineStr"/>
      <c r="V53" t="inlineStr">
        <is>
          <t>2BM-9705118142-770501001-201808140708520629143</t>
        </is>
      </c>
    </row>
    <row r="54">
      <c r="A54">
        <f>"9709067058"</f>
        <v/>
      </c>
      <c r="B54">
        <f>"770901001"</f>
        <v/>
      </c>
      <c r="C54" t="inlineStr">
        <is>
          <t>ООО "ГЛОУБАЙТ СОФТ"</t>
        </is>
      </c>
      <c r="D54" t="inlineStr">
        <is>
          <t>Доп. соглашение №LBO-LE-9709067058 от 21.04.26</t>
        </is>
      </c>
      <c r="E54">
        <f>"LBO-LE-9709067058"</f>
        <v/>
      </c>
      <c r="F54" t="inlineStr">
        <is>
          <t>21.04.2026</t>
        </is>
      </c>
      <c r="G54" t="inlineStr"/>
      <c r="H54" t="inlineStr">
        <is>
          <t>RUB - Российский рубль</t>
        </is>
      </c>
      <c r="I54" t="inlineStr"/>
      <c r="J54" t="inlineStr"/>
      <c r="K54" t="inlineStr"/>
      <c r="L54" t="inlineStr"/>
      <c r="M54" t="inlineStr">
        <is>
          <t>22.04.2026 15:08:17</t>
        </is>
      </c>
      <c r="N54" t="inlineStr">
        <is>
          <t>Ожидается промежуточная подпись</t>
        </is>
      </c>
      <c r="O54" t="inlineStr"/>
      <c r="P54" t="inlineStr">
        <is>
          <t>22.04.2026 15:08:17</t>
        </is>
      </c>
      <c r="Q54" t="inlineStr">
        <is>
          <t xml:space="preserve">Головное подразделение -&gt; BizDev (А. Данилина) </t>
        </is>
      </c>
      <c r="R54" t="inlineStr"/>
      <c r="S5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4" t="inlineStr">
        <is>
          <t>https://diadoc.kontur.ru/4100c1d3-2464-4c71-95cc-21ba90d0c907/Document/Show?letterId=75916242-992b-4650-8921-40c2918ceae8&amp;documentId=613a91d2-d610-4c2a-a3c9-defd3de421d5</t>
        </is>
      </c>
      <c r="U54" t="inlineStr"/>
      <c r="V54" t="inlineStr">
        <is>
          <t>2BM-9709067058-770901001-202012250802102617947</t>
        </is>
      </c>
    </row>
    <row r="55">
      <c r="A55">
        <f>"1657203961"</f>
        <v/>
      </c>
      <c r="B55">
        <f>"168301001"</f>
        <v/>
      </c>
      <c r="C55" t="inlineStr">
        <is>
          <t>ООО "ИМПЛЕКС"</t>
        </is>
      </c>
      <c r="D55" t="inlineStr">
        <is>
          <t>Доп. соглашение №LBO-LE-1657203961 от 21.04.26</t>
        </is>
      </c>
      <c r="E55">
        <f>"LBO-LE-1657203961"</f>
        <v/>
      </c>
      <c r="F55" t="inlineStr">
        <is>
          <t>21.04.2026</t>
        </is>
      </c>
      <c r="G55" t="inlineStr"/>
      <c r="H55" t="inlineStr">
        <is>
          <t>RUB - Российский рубль</t>
        </is>
      </c>
      <c r="I55" t="inlineStr"/>
      <c r="J55" t="inlineStr"/>
      <c r="K55" t="inlineStr"/>
      <c r="L55" t="inlineStr"/>
      <c r="M55" t="inlineStr">
        <is>
          <t>22.04.2026 15:08:20</t>
        </is>
      </c>
      <c r="N55" t="inlineStr">
        <is>
          <t>Ожидается промежуточная подпись</t>
        </is>
      </c>
      <c r="O55" t="inlineStr"/>
      <c r="P55" t="inlineStr">
        <is>
          <t>22.04.2026 15:08:20</t>
        </is>
      </c>
      <c r="Q55" t="inlineStr">
        <is>
          <t xml:space="preserve">Головное подразделение -&gt; BizDev (А. Данилина) </t>
        </is>
      </c>
      <c r="R55" t="inlineStr"/>
      <c r="S5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5" t="inlineStr">
        <is>
          <t>https://diadoc.kontur.ru/4100c1d3-2464-4c71-95cc-21ba90d0c907/Document/Show?letterId=4577a335-3abe-4a26-a414-99ea818841a7&amp;documentId=fdeda9a2-002e-4b10-929d-5b4f31d1be13</t>
        </is>
      </c>
      <c r="U55" t="inlineStr"/>
      <c r="V55" t="inlineStr">
        <is>
          <t>2BM-1657203961-165701001-201608040756542710551</t>
        </is>
      </c>
    </row>
    <row r="56">
      <c r="A56">
        <f>"7736319695"</f>
        <v/>
      </c>
      <c r="B56">
        <f>"773601001"</f>
        <v/>
      </c>
      <c r="C56" t="inlineStr">
        <is>
          <t>ООО "С-МАРКЕТИНГ"</t>
        </is>
      </c>
      <c r="D56" t="inlineStr">
        <is>
          <t>Доп. соглашение №LBO-LE-7736319695 от 21.04.26</t>
        </is>
      </c>
      <c r="E56">
        <f>"LBO-LE-7736319695"</f>
        <v/>
      </c>
      <c r="F56" t="inlineStr">
        <is>
          <t>21.04.2026</t>
        </is>
      </c>
      <c r="G56" t="inlineStr"/>
      <c r="H56" t="inlineStr">
        <is>
          <t>RUB - Российский рубль</t>
        </is>
      </c>
      <c r="I56" t="inlineStr"/>
      <c r="J56" t="inlineStr"/>
      <c r="K56" t="inlineStr"/>
      <c r="L56" t="inlineStr"/>
      <c r="M56" t="inlineStr">
        <is>
          <t>22.04.2026 15:08:20</t>
        </is>
      </c>
      <c r="N56" t="inlineStr">
        <is>
          <t>Ожидается промежуточная подпись</t>
        </is>
      </c>
      <c r="O56" t="inlineStr"/>
      <c r="P56" t="inlineStr">
        <is>
          <t>22.04.2026 15:08:20</t>
        </is>
      </c>
      <c r="Q56" t="inlineStr">
        <is>
          <t xml:space="preserve">Головное подразделение -&gt; BizDev (А. Данилина) </t>
        </is>
      </c>
      <c r="R56" t="inlineStr"/>
      <c r="S5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6" t="inlineStr">
        <is>
          <t>https://diadoc.kontur.ru/4100c1d3-2464-4c71-95cc-21ba90d0c907/Document/Show?letterId=2bcfa11b-5d4f-4fee-a89c-81354f1ffdee&amp;documentId=8d343abe-28f0-4fc4-87af-d64b6537841c</t>
        </is>
      </c>
      <c r="U56" t="inlineStr"/>
      <c r="V56" t="inlineStr">
        <is>
          <t>2BM-7736319695-773601001-201907310301149591624</t>
        </is>
      </c>
    </row>
    <row r="57">
      <c r="A57">
        <f>"7805093681"</f>
        <v/>
      </c>
      <c r="B57">
        <f>"997750001"</f>
        <v/>
      </c>
      <c r="C57" t="inlineStr">
        <is>
          <t>ООО "ЦРТ"</t>
        </is>
      </c>
      <c r="D57" t="inlineStr">
        <is>
          <t>Доп. соглашение №LBO-LE-7805093681 от 21.04.26</t>
        </is>
      </c>
      <c r="E57">
        <f>"LBO-LE-7805093681"</f>
        <v/>
      </c>
      <c r="F57" t="inlineStr">
        <is>
          <t>21.04.2026</t>
        </is>
      </c>
      <c r="G57" t="inlineStr"/>
      <c r="H57" t="inlineStr">
        <is>
          <t>RUB - Российский рубль</t>
        </is>
      </c>
      <c r="I57" t="inlineStr"/>
      <c r="J57" t="inlineStr"/>
      <c r="K57" t="inlineStr"/>
      <c r="L57" t="inlineStr"/>
      <c r="M57" t="inlineStr">
        <is>
          <t>22.04.2026 15:09:00</t>
        </is>
      </c>
      <c r="N57" t="inlineStr">
        <is>
          <t>Ожидается промежуточная подпись</t>
        </is>
      </c>
      <c r="O57" t="inlineStr"/>
      <c r="P57" t="inlineStr">
        <is>
          <t>22.04.2026 15:09:00</t>
        </is>
      </c>
      <c r="Q57" t="inlineStr">
        <is>
          <t xml:space="preserve">Головное подразделение -&gt; BizDev (А. Данилина) </t>
        </is>
      </c>
      <c r="R57" t="inlineStr"/>
      <c r="S5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7" t="inlineStr">
        <is>
          <t>https://diadoc.kontur.ru/4100c1d3-2464-4c71-95cc-21ba90d0c907/Document/Show?letterId=72bb46b0-2be9-4ddb-aec2-21b15b953c2a&amp;documentId=9e796057-2927-49cd-b2b6-d851dc45f185</t>
        </is>
      </c>
      <c r="U57" t="inlineStr"/>
      <c r="V57" t="inlineStr">
        <is>
          <t>2BM-7805093681-783901001-201408081114163414308</t>
        </is>
      </c>
    </row>
    <row r="58">
      <c r="A58">
        <f>"7736128605"</f>
        <v/>
      </c>
      <c r="B58">
        <f>"773601001"</f>
        <v/>
      </c>
      <c r="C58" t="inlineStr">
        <is>
          <t>АНО ДПО "КОРПОРАТИВНЫЙ УНИВЕРСИТЕТ СБЕРБАНКА", КОРПОРАТИВНЫЙ УНИВЕРСИТЕТ СБЕРБАНКА, СБЕРУНИВЕРСИТЕТ</t>
        </is>
      </c>
      <c r="D58" t="inlineStr">
        <is>
          <t>Доп. соглашение №LBO-LE-7736128605 от 21.04.26</t>
        </is>
      </c>
      <c r="E58">
        <f>"LBO-LE-7736128605"</f>
        <v/>
      </c>
      <c r="F58" t="inlineStr">
        <is>
          <t>21.04.2026</t>
        </is>
      </c>
      <c r="G58" t="inlineStr"/>
      <c r="H58" t="inlineStr">
        <is>
          <t>RUB - Российский рубль</t>
        </is>
      </c>
      <c r="I58" t="inlineStr"/>
      <c r="J58" t="inlineStr"/>
      <c r="K58" t="inlineStr"/>
      <c r="L58" t="inlineStr"/>
      <c r="M58" t="inlineStr">
        <is>
          <t>22.04.2026 15:09:00</t>
        </is>
      </c>
      <c r="N58" t="inlineStr">
        <is>
          <t>Ожидается промежуточная подпись</t>
        </is>
      </c>
      <c r="O58" t="inlineStr"/>
      <c r="P58" t="inlineStr">
        <is>
          <t>22.04.2026 15:09:00</t>
        </is>
      </c>
      <c r="Q58" t="inlineStr">
        <is>
          <t xml:space="preserve">Головное подразделение -&gt; BizDev (А. Данилина) </t>
        </is>
      </c>
      <c r="R58" t="inlineStr"/>
      <c r="S58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8" t="inlineStr">
        <is>
          <t>https://diadoc.kontur.ru/4100c1d3-2464-4c71-95cc-21ba90d0c907/Document/Show?letterId=effd6672-3f8c-4f95-be1e-cd4ece30e501&amp;documentId=bd40a11c-3e82-4e2d-a270-c1302c371b98</t>
        </is>
      </c>
      <c r="U58" t="inlineStr"/>
      <c r="V58" t="inlineStr">
        <is>
          <t>2BM-7736128605-773601001-201603211141413966693</t>
        </is>
      </c>
    </row>
    <row r="59">
      <c r="A59">
        <f>"7736279160"</f>
        <v/>
      </c>
      <c r="B59">
        <f>"997750001"</f>
        <v/>
      </c>
      <c r="C59" t="inlineStr">
        <is>
          <t>ООО "ОБЛАЧНЫЕ ТЕХНОЛОГИИ"</t>
        </is>
      </c>
      <c r="D59" t="inlineStr">
        <is>
          <t>Доп. соглашение №LBO-LE-7736279160 от 21.04.26</t>
        </is>
      </c>
      <c r="E59">
        <f>"LBO-LE-7736279160"</f>
        <v/>
      </c>
      <c r="F59" t="inlineStr">
        <is>
          <t>21.04.2026</t>
        </is>
      </c>
      <c r="G59" t="inlineStr"/>
      <c r="H59" t="inlineStr">
        <is>
          <t>RUB - Российский рубль</t>
        </is>
      </c>
      <c r="I59" t="inlineStr"/>
      <c r="J59" t="inlineStr"/>
      <c r="K59" t="inlineStr"/>
      <c r="L59" t="inlineStr"/>
      <c r="M59" t="inlineStr">
        <is>
          <t>22.04.2026 15:09:00</t>
        </is>
      </c>
      <c r="N59" t="inlineStr">
        <is>
          <t>Ожидается промежуточная подпись</t>
        </is>
      </c>
      <c r="O59" t="inlineStr"/>
      <c r="P59" t="inlineStr">
        <is>
          <t>22.04.2026 15:09:00</t>
        </is>
      </c>
      <c r="Q59" t="inlineStr">
        <is>
          <t xml:space="preserve">Головное подразделение -&gt; BizDev (А. Данилина) </t>
        </is>
      </c>
      <c r="R59" t="inlineStr"/>
      <c r="S59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59" t="inlineStr">
        <is>
          <t>https://diadoc.kontur.ru/4100c1d3-2464-4c71-95cc-21ba90d0c907/Document/Show?letterId=2639f91a-34cd-4587-aa58-81fcbbba8e9b&amp;documentId=c03c5f96-28f0-46f0-bace-1de817906394</t>
        </is>
      </c>
      <c r="U59" t="inlineStr"/>
      <c r="V59" t="inlineStr">
        <is>
          <t>2BM-7736279160-773601001-201701251001477042849</t>
        </is>
      </c>
    </row>
    <row r="60">
      <c r="A60">
        <f>"7715995942"</f>
        <v/>
      </c>
      <c r="B60">
        <f>"770701001"</f>
        <v/>
      </c>
      <c r="C60" t="inlineStr">
        <is>
          <t>АО "ИЗДАТЕЛЬСТВО "ПРОСВЕЩЕНИЕ"</t>
        </is>
      </c>
      <c r="D60" t="inlineStr">
        <is>
          <t>Доп. соглашение №LBO-LE-7715995942 от 21.04.26</t>
        </is>
      </c>
      <c r="E60">
        <f>"LBO-LE-7715995942"</f>
        <v/>
      </c>
      <c r="F60" t="inlineStr">
        <is>
          <t>21.04.2026</t>
        </is>
      </c>
      <c r="G60" t="inlineStr"/>
      <c r="H60" t="inlineStr">
        <is>
          <t>RUB - Российский рубль</t>
        </is>
      </c>
      <c r="I60" t="inlineStr"/>
      <c r="J60" t="inlineStr"/>
      <c r="K60" t="inlineStr"/>
      <c r="L60" t="inlineStr"/>
      <c r="M60" t="inlineStr">
        <is>
          <t>22.04.2026 15:09:00</t>
        </is>
      </c>
      <c r="N60" t="inlineStr">
        <is>
          <t>Ожидается промежуточная подпись</t>
        </is>
      </c>
      <c r="O60" t="inlineStr"/>
      <c r="P60" t="inlineStr">
        <is>
          <t>22.04.2026 15:09:00</t>
        </is>
      </c>
      <c r="Q60" t="inlineStr">
        <is>
          <t xml:space="preserve">Головное подразделение -&gt; BizDev (А. Данилина) </t>
        </is>
      </c>
      <c r="R60" t="inlineStr"/>
      <c r="S60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0" t="inlineStr">
        <is>
          <t>https://diadoc.kontur.ru/4100c1d3-2464-4c71-95cc-21ba90d0c907/Document/Show?letterId=4b1f8c5b-fc86-47d9-a538-eb8b2d1dbe3d&amp;documentId=7ed7afdb-fca7-4ba1-9c10-3b1c91583ce2</t>
        </is>
      </c>
      <c r="U60" t="inlineStr"/>
      <c r="V60" t="inlineStr">
        <is>
          <t>2BM-7715995942-771501001-201404070308335649912</t>
        </is>
      </c>
    </row>
    <row r="61">
      <c r="A61">
        <f>"7704017596"</f>
        <v/>
      </c>
      <c r="B61">
        <f>"997150001"</f>
        <v/>
      </c>
      <c r="C61" t="inlineStr">
        <is>
          <t>АО "БАЙЕР"</t>
        </is>
      </c>
      <c r="D61" t="inlineStr">
        <is>
          <t>Доп. соглашение №LBO-LE-7704017596 от 21.04.26</t>
        </is>
      </c>
      <c r="E61">
        <f>"LBO-LE-7704017596"</f>
        <v/>
      </c>
      <c r="F61" t="inlineStr">
        <is>
          <t>21.04.2026</t>
        </is>
      </c>
      <c r="G61" t="inlineStr"/>
      <c r="H61" t="inlineStr">
        <is>
          <t>RUB - Российский рубль</t>
        </is>
      </c>
      <c r="I61" t="inlineStr"/>
      <c r="J61" t="inlineStr"/>
      <c r="K61" t="inlineStr"/>
      <c r="L61" t="inlineStr"/>
      <c r="M61" t="inlineStr">
        <is>
          <t>22.04.2026 15:09:00</t>
        </is>
      </c>
      <c r="N61" t="inlineStr">
        <is>
          <t>Ожидается промежуточная подпись</t>
        </is>
      </c>
      <c r="O61" t="inlineStr"/>
      <c r="P61" t="inlineStr">
        <is>
          <t>22.04.2026 15:09:00</t>
        </is>
      </c>
      <c r="Q61" t="inlineStr">
        <is>
          <t xml:space="preserve">Головное подразделение -&gt; BizDev (А. Данилина) </t>
        </is>
      </c>
      <c r="R61" t="inlineStr"/>
      <c r="S61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1" t="inlineStr">
        <is>
          <t>https://diadoc.kontur.ru/4100c1d3-2464-4c71-95cc-21ba90d0c907/Document/Show?letterId=6f22bc06-97b1-4ebe-897b-12f3d1f0fd92&amp;documentId=9f0a1f0b-a2b9-435e-94dc-4ec81a92d390</t>
        </is>
      </c>
      <c r="U61" t="inlineStr"/>
      <c r="V61" t="inlineStr">
        <is>
          <t>2BM-7704017596-2012052808233697902630000000000</t>
        </is>
      </c>
    </row>
    <row r="62">
      <c r="A62">
        <f>"9715347247"</f>
        <v/>
      </c>
      <c r="B62">
        <f>"770501001"</f>
        <v/>
      </c>
      <c r="C62" t="inlineStr">
        <is>
          <t>ООО "РОБОВОЙС"</t>
        </is>
      </c>
      <c r="D62" t="inlineStr">
        <is>
          <t>Доп. соглашение №LBO-LE-9715347247 от 21.04.26</t>
        </is>
      </c>
      <c r="E62">
        <f>"LBO-LE-9715347247"</f>
        <v/>
      </c>
      <c r="F62" t="inlineStr">
        <is>
          <t>21.04.2026</t>
        </is>
      </c>
      <c r="G62" t="inlineStr"/>
      <c r="H62" t="inlineStr">
        <is>
          <t>RUB - Российский рубль</t>
        </is>
      </c>
      <c r="I62" t="inlineStr"/>
      <c r="J62" t="inlineStr"/>
      <c r="K62" t="inlineStr"/>
      <c r="L62" t="inlineStr"/>
      <c r="M62" t="inlineStr">
        <is>
          <t>22.04.2026 15:09:00</t>
        </is>
      </c>
      <c r="N62" t="inlineStr">
        <is>
          <t>Ожидается промежуточная подпись</t>
        </is>
      </c>
      <c r="O62" t="inlineStr"/>
      <c r="P62" t="inlineStr">
        <is>
          <t>22.04.2026 15:09:00</t>
        </is>
      </c>
      <c r="Q62" t="inlineStr">
        <is>
          <t xml:space="preserve">Головное подразделение -&gt; BizDev (А. Данилина) </t>
        </is>
      </c>
      <c r="R62" t="inlineStr"/>
      <c r="S62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2" t="inlineStr">
        <is>
          <t>https://diadoc.kontur.ru/4100c1d3-2464-4c71-95cc-21ba90d0c907/Document/Show?letterId=0f8ed590-3003-4783-a909-416dbb357e07&amp;documentId=7f990545-31f3-413f-8618-c17ab103de4f</t>
        </is>
      </c>
      <c r="U62" t="inlineStr"/>
      <c r="V62" t="inlineStr">
        <is>
          <t>2BM-9715347247-771501001-201906101102562235725</t>
        </is>
      </c>
    </row>
    <row r="63">
      <c r="A63">
        <f>"7702019950"</f>
        <v/>
      </c>
      <c r="B63">
        <f>"771401001"</f>
        <v/>
      </c>
      <c r="C63" t="inlineStr">
        <is>
          <t>АО "КЭПТ"</t>
        </is>
      </c>
      <c r="D63" t="inlineStr">
        <is>
          <t>Доп. соглашение №LBO-LE-7702019950 от 21.04.26</t>
        </is>
      </c>
      <c r="E63">
        <f>"LBO-LE-7702019950"</f>
        <v/>
      </c>
      <c r="F63" t="inlineStr">
        <is>
          <t>21.04.2026</t>
        </is>
      </c>
      <c r="G63" t="inlineStr"/>
      <c r="H63" t="inlineStr">
        <is>
          <t>RUB - Российский рубль</t>
        </is>
      </c>
      <c r="I63" t="inlineStr"/>
      <c r="J63" t="inlineStr"/>
      <c r="K63" t="inlineStr"/>
      <c r="L63" t="inlineStr"/>
      <c r="M63" t="inlineStr">
        <is>
          <t>22.04.2026 15:09:00</t>
        </is>
      </c>
      <c r="N63" t="inlineStr">
        <is>
          <t>Ожидается промежуточная подпись</t>
        </is>
      </c>
      <c r="O63" t="inlineStr"/>
      <c r="P63" t="inlineStr">
        <is>
          <t>22.04.2026 15:09:00</t>
        </is>
      </c>
      <c r="Q63" t="inlineStr">
        <is>
          <t xml:space="preserve">Головное подразделение -&gt; BizDev (А. Данилина) </t>
        </is>
      </c>
      <c r="R63" t="inlineStr"/>
      <c r="S63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3" t="inlineStr">
        <is>
          <t>https://diadoc.kontur.ru/4100c1d3-2464-4c71-95cc-21ba90d0c907/Document/Show?letterId=42ce06a2-1b55-4c65-a27b-06870c9c2fbd&amp;documentId=a6e8e62e-2f7e-46e4-9922-d30bab2ec961</t>
        </is>
      </c>
      <c r="U63" t="inlineStr"/>
      <c r="V63" t="inlineStr">
        <is>
          <t>2BM-7702019950-2013022203370240223770000000000</t>
        </is>
      </c>
    </row>
    <row r="64">
      <c r="A64">
        <f>"7736128605"</f>
        <v/>
      </c>
      <c r="B64">
        <f>"773601001"</f>
        <v/>
      </c>
      <c r="C64" t="inlineStr">
        <is>
          <t>АНО ДПО "КОРПОРАТИВНЫЙ УНИВЕРСИТЕТ СБЕРБАНКА", КОРПОРАТИВНЫЙ УНИВЕРСИТЕТ СБЕРБАНКА, СБЕРУНИВЕРСИТЕТ</t>
        </is>
      </c>
      <c r="D64" t="inlineStr">
        <is>
          <t>Доп. соглашение №LBO-LE-7736128605 от 21.04.26</t>
        </is>
      </c>
      <c r="E64">
        <f>"LBO-LE-7736128605"</f>
        <v/>
      </c>
      <c r="F64" t="inlineStr">
        <is>
          <t>21.04.2026</t>
        </is>
      </c>
      <c r="G64" t="inlineStr"/>
      <c r="H64" t="inlineStr">
        <is>
          <t>RUB - Российский рубль</t>
        </is>
      </c>
      <c r="I64" t="inlineStr"/>
      <c r="J64" t="inlineStr"/>
      <c r="K64" t="inlineStr"/>
      <c r="L64" t="inlineStr"/>
      <c r="M64" t="inlineStr">
        <is>
          <t>22.04.2026 15:09:00</t>
        </is>
      </c>
      <c r="N64" t="inlineStr">
        <is>
          <t>Ожидается промежуточная подпись</t>
        </is>
      </c>
      <c r="O64" t="inlineStr"/>
      <c r="P64" t="inlineStr">
        <is>
          <t>22.04.2026 15:09:00</t>
        </is>
      </c>
      <c r="Q64" t="inlineStr">
        <is>
          <t xml:space="preserve">Головное подразделение -&gt; BizDev (А. Данилина) </t>
        </is>
      </c>
      <c r="R64" t="inlineStr"/>
      <c r="S64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4" t="inlineStr">
        <is>
          <t>https://diadoc.kontur.ru/4100c1d3-2464-4c71-95cc-21ba90d0c907/Document/Show?letterId=da31b4ba-962d-4a7a-91ac-b0588be62dfd&amp;documentId=e122fe1a-f890-46e6-b6c5-bbffcf42c248</t>
        </is>
      </c>
      <c r="U64" t="inlineStr"/>
      <c r="V64" t="inlineStr">
        <is>
          <t>2BM-7736128605-773601001-201603211141413966693</t>
        </is>
      </c>
    </row>
    <row r="65">
      <c r="A65">
        <f>"7736128605"</f>
        <v/>
      </c>
      <c r="B65">
        <f>"773601001"</f>
        <v/>
      </c>
      <c r="C65" t="inlineStr">
        <is>
          <t>АНО ДПО "КОРПОРАТИВНЫЙ УНИВЕРСИТЕТ СБЕРБАНКА", КОРПОРАТИВНЫЙ УНИВЕРСИТЕТ СБЕРБАНКА, СБЕРУНИВЕРСИТЕТ</t>
        </is>
      </c>
      <c r="D65" t="inlineStr">
        <is>
          <t>Доп. соглашение №LBO-LE-7736128605 от 21.04.26</t>
        </is>
      </c>
      <c r="E65">
        <f>"LBO-LE-7736128605"</f>
        <v/>
      </c>
      <c r="F65" t="inlineStr">
        <is>
          <t>21.04.2026</t>
        </is>
      </c>
      <c r="G65" t="inlineStr"/>
      <c r="H65" t="inlineStr">
        <is>
          <t>RUB - Российский рубль</t>
        </is>
      </c>
      <c r="I65" t="inlineStr"/>
      <c r="J65" t="inlineStr"/>
      <c r="K65" t="inlineStr"/>
      <c r="L65" t="inlineStr"/>
      <c r="M65" t="inlineStr">
        <is>
          <t>22.04.2026 15:09:00</t>
        </is>
      </c>
      <c r="N65" t="inlineStr">
        <is>
          <t>Ожидается промежуточная подпись</t>
        </is>
      </c>
      <c r="O65" t="inlineStr"/>
      <c r="P65" t="inlineStr">
        <is>
          <t>22.04.2026 15:09:00</t>
        </is>
      </c>
      <c r="Q65" t="inlineStr">
        <is>
          <t xml:space="preserve">Головное подразделение -&gt; BizDev (А. Данилина) </t>
        </is>
      </c>
      <c r="R65" t="inlineStr"/>
      <c r="S65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5" t="inlineStr">
        <is>
          <t>https://diadoc.kontur.ru/4100c1d3-2464-4c71-95cc-21ba90d0c907/Document/Show?letterId=8fcbde8c-a54b-4aa8-b1fc-8f347506da06&amp;documentId=5fe84401-17ba-4796-be79-25c84ee55233</t>
        </is>
      </c>
      <c r="U65" t="inlineStr"/>
      <c r="V65" t="inlineStr">
        <is>
          <t>2BM-7736128605-773601001-201603211141413966693</t>
        </is>
      </c>
    </row>
    <row r="66">
      <c r="A66">
        <f>"7730269550"</f>
        <v/>
      </c>
      <c r="B66">
        <f>"773001001"</f>
        <v/>
      </c>
      <c r="C66" t="inlineStr">
        <is>
          <t>ООО "СБЕР БИЗНЕС СОФТ"</t>
        </is>
      </c>
      <c r="D66" t="inlineStr">
        <is>
          <t>Доп. соглашение №LBO-LE-7730269550 от 21.04.26</t>
        </is>
      </c>
      <c r="E66">
        <f>"LBO-LE-7730269550"</f>
        <v/>
      </c>
      <c r="F66" t="inlineStr">
        <is>
          <t>21.04.2026</t>
        </is>
      </c>
      <c r="G66" t="inlineStr"/>
      <c r="H66" t="inlineStr">
        <is>
          <t>RUB - Российский рубль</t>
        </is>
      </c>
      <c r="I66" t="inlineStr"/>
      <c r="J66" t="inlineStr"/>
      <c r="K66" t="inlineStr"/>
      <c r="L66" t="inlineStr"/>
      <c r="M66" t="inlineStr"/>
      <c r="N66" t="inlineStr">
        <is>
          <t>Требуется подписать и отправить</t>
        </is>
      </c>
      <c r="O66" t="inlineStr"/>
      <c r="P66" t="inlineStr">
        <is>
          <t>21.04.2026 18:21:23</t>
        </is>
      </c>
      <c r="Q66" t="inlineStr">
        <is>
          <t xml:space="preserve">Головное подразделение -&gt; BizDev (А. Данилина) </t>
        </is>
      </c>
      <c r="R66" t="inlineStr"/>
      <c r="S66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6" t="inlineStr">
        <is>
          <t>https://diadoc.kontur.ru/4100c1d3-2464-4c71-95cc-21ba90d0c907/Document/Show?letterId=29bfe4ac-ee45-4a7c-a0a6-3706a6313fe1&amp;documentId=1ef45b11-331d-4c00-a460-f941e0241378</t>
        </is>
      </c>
      <c r="U66" t="inlineStr"/>
    </row>
    <row r="67">
      <c r="A67">
        <f>"7750005725"</f>
        <v/>
      </c>
      <c r="B67">
        <f>"770501001"</f>
        <v/>
      </c>
      <c r="C67" t="inlineStr">
        <is>
          <t>ООО НКО "ЮМАНИ"</t>
        </is>
      </c>
      <c r="D67" t="inlineStr">
        <is>
          <t>Доп. соглашение №LBO-LE-7750005725 от 21.04.26</t>
        </is>
      </c>
      <c r="E67">
        <f>"LBO-LE-7750005725"</f>
        <v/>
      </c>
      <c r="F67" t="inlineStr">
        <is>
          <t>21.04.2026</t>
        </is>
      </c>
      <c r="G67" t="inlineStr"/>
      <c r="H67" t="inlineStr">
        <is>
          <t>RUB - Российский рубль</t>
        </is>
      </c>
      <c r="I67" t="inlineStr"/>
      <c r="J67" t="inlineStr"/>
      <c r="K67" t="inlineStr"/>
      <c r="L67" t="inlineStr"/>
      <c r="M67" t="inlineStr"/>
      <c r="N67" t="inlineStr">
        <is>
          <t>Требуется подписать и отправить</t>
        </is>
      </c>
      <c r="O67" t="inlineStr"/>
      <c r="P67" t="inlineStr">
        <is>
          <t>21.04.2026 19:16:56</t>
        </is>
      </c>
      <c r="Q67" t="inlineStr">
        <is>
          <t xml:space="preserve">Головное подразделение -&gt; BizDev (А. Данилина) </t>
        </is>
      </c>
      <c r="R67" t="inlineStr"/>
      <c r="S67" t="inlineStr">
        <is>
          <t>Соглашение о передаче прав и обязанностей по договору облачного сервиса GigaChat в ООО «Салют для Бизнеса». Дополнительно (отдельным пакетом) отправлено информационное письмо посредством ЭДО. По вопросам соглашения обращаться: sales-soft@sberdevices.ru</t>
        </is>
      </c>
      <c r="T67" t="inlineStr">
        <is>
          <t>https://diadoc.kontur.ru/4100c1d3-2464-4c71-95cc-21ba90d0c907/Document/Show?letterId=39806f2a-8c12-473e-a17c-dd06b299dcbd&amp;documentId=5b391afa-8066-4de5-9e26-a852b4a66510</t>
        </is>
      </c>
      <c r="U67" t="inlineStr"/>
    </row>
  </sheetData>
  <autoFilter ref="A1:V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2026-04-22T12:41:36Z</dcterms:created>
  <dcterms:modified xsi:type="dcterms:W3CDTF">2026-04-22T12:41:36Z</dcterms:modified>
</cp:coreProperties>
</file>