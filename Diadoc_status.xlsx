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atherine/Documents/Giga Соглашения/Diadoc/"/>
    </mc:Choice>
  </mc:AlternateContent>
  <xr:revisionPtr revIDLastSave="0" documentId="13_ncr:1_{F397B1B5-883D-8447-B525-9020C49DD334}" xr6:coauthVersionLast="47" xr6:coauthVersionMax="47" xr10:uidLastSave="{00000000-0000-0000-0000-000000000000}"/>
  <bookViews>
    <workbookView xWindow="580" yWindow="740" windowWidth="28240" windowHeight="17160" xr2:uid="{00000000-000D-0000-FFFF-FFFF00000000}"/>
  </bookViews>
  <sheets>
    <sheet name="Лист1" sheetId="1" r:id="rId1"/>
  </sheets>
  <definedNames>
    <definedName name="Diadoc_22.04.26_07.02" localSheetId="0">Лист1!$A$1:$U$90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" l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<sst xmlns="http://schemas.openxmlformats.org/spreadsheetml/2006/main" count="909" uniqueCount="446">
  <si>
    <t>ИНН</t>
  </si>
  <si>
    <t>КПП</t>
  </si>
  <si>
    <t>Название организации</t>
  </si>
  <si>
    <t>Имя файла</t>
  </si>
  <si>
    <t>Номер документа</t>
  </si>
  <si>
    <t>Дата документа</t>
  </si>
  <si>
    <t>Всего</t>
  </si>
  <si>
    <t>Валюта</t>
  </si>
  <si>
    <t>НДС</t>
  </si>
  <si>
    <t>НДС 10%</t>
  </si>
  <si>
    <t>НДС 18%</t>
  </si>
  <si>
    <t>НДС 20%</t>
  </si>
  <si>
    <t>Дата доставки</t>
  </si>
  <si>
    <t>Статус документа</t>
  </si>
  <si>
    <t>Дата тарификации</t>
  </si>
  <si>
    <t>Дата изменения статуса</t>
  </si>
  <si>
    <t>Подразделение</t>
  </si>
  <si>
    <t>ФИО ответственного</t>
  </si>
  <si>
    <t>Комментарий</t>
  </si>
  <si>
    <t>Ссылка</t>
  </si>
  <si>
    <t>Удален</t>
  </si>
  <si>
    <t>СвПолДок ИдУчастЭДО</t>
  </si>
  <si>
    <t>="7736632467"</t>
  </si>
  <si>
    <t>="997750001"</t>
  </si>
  <si>
    <t>АО "СБЕРТЕХ"</t>
  </si>
  <si>
    <t>Доп. соглашение №LBO-LE-7736632467 от 20.04.26</t>
  </si>
  <si>
    <t>RUB - Российский рубль</t>
  </si>
  <si>
    <t>Ожидается промежуточная подпись</t>
  </si>
  <si>
    <t xml:space="preserve">Головное подразделение -&gt; BizDev (А. Данилина) </t>
  </si>
  <si>
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</si>
  <si>
    <t>https://diadoc.kontur.ru/4100c1d3-2464-4c71-95cc-21ba90d0c907/Document/Show?letterId=4fd9ee60-3947-421f-8876-65edea091dd6&amp;documentId=c93d7b57-ec70-40ba-852e-51726fb7013d</t>
  </si>
  <si>
    <t>="7730245060"</t>
  </si>
  <si>
    <t>="773001001"</t>
  </si>
  <si>
    <t>ООО "МЕДЭКСПЕРТ ПЛЮС"</t>
  </si>
  <si>
    <t>Доп. соглашение №LBS-LE-7730245060 от 20.04.26</t>
  </si>
  <si>
    <t>https://diadoc.kontur.ru/4100c1d3-2464-4c71-95cc-21ba90d0c907/Document/Show?letterId=3384ddbb-db75-49b3-9a2e-1498b1d49a11&amp;documentId=28be2f88-913f-4af5-b911-ac546d0ae3fd</t>
  </si>
  <si>
    <t>="9705124940"</t>
  </si>
  <si>
    <t>="773601001"</t>
  </si>
  <si>
    <t>ООО "СБЕР ЛИГАЛ"</t>
  </si>
  <si>
    <t>Доп. соглашение №LBO-LE-9705124940 от 21.04.26</t>
  </si>
  <si>
    <t>https://diadoc.kontur.ru/4100c1d3-2464-4c71-95cc-21ba90d0c907/Document/Show?letterId=d9678593-5fe8-45ce-9ebb-671ce2ae2b67&amp;documentId=7c63b886-3d88-4244-b460-955191f0fa6a</t>
  </si>
  <si>
    <t>2BM-9705124940-770501001-201902010233255673854</t>
  </si>
  <si>
    <t>="7730335860"</t>
  </si>
  <si>
    <t>="770601001"</t>
  </si>
  <si>
    <t>АО "ЦИФРОВОЙ СЕМЕЙНЫЙ ОФИС"</t>
  </si>
  <si>
    <t>Доп. соглашение №LBO-LE-7730335860 от 21.04.26</t>
  </si>
  <si>
    <t>https://diadoc.kontur.ru/4100c1d3-2464-4c71-95cc-21ba90d0c907/Document/Show?letterId=67f04bcf-6bba-4542-af6b-78070329fef7&amp;documentId=10745677-ce18-4c19-812f-31aaff61026a</t>
  </si>
  <si>
    <t>2BM-7730335860-773001001-202503200138347929328</t>
  </si>
  <si>
    <t>="7714843760"</t>
  </si>
  <si>
    <t>="771001001"</t>
  </si>
  <si>
    <t>ООО "Инсейлс Рус"</t>
  </si>
  <si>
    <t>Доп. соглашение №LBO-LE-7714843760 от 21.04.26</t>
  </si>
  <si>
    <t>https://diadoc.kontur.ru/4100c1d3-2464-4c71-95cc-21ba90d0c907/Document/Show?letterId=c545483d-b84c-4379-9654-e90362ab9dd3&amp;documentId=51e09292-11ff-4bbf-a70e-1a5f692893c7</t>
  </si>
  <si>
    <t>2BM-7714843760-771401001-201407070405496642694</t>
  </si>
  <si>
    <t>="7743001840"</t>
  </si>
  <si>
    <t>ООО "ВК"</t>
  </si>
  <si>
    <t>Доп. соглашение №LBO-LE-7743001840 от 21.04.26</t>
  </si>
  <si>
    <t>https://diadoc.kontur.ru/4100c1d3-2464-4c71-95cc-21ba90d0c907/Document/Show?letterId=464a0ef3-a676-4b2a-aafc-f4b9f5dda61c&amp;documentId=f36e3345-bdef-4c80-8dad-5b647cf49358</t>
  </si>
  <si>
    <t>2BM-7743001840-2012052807514600749280000000000</t>
  </si>
  <si>
    <t>="9731053950"</t>
  </si>
  <si>
    <t>="772501001"</t>
  </si>
  <si>
    <t>ООО "СБЕР РЕШЕНИЯ"</t>
  </si>
  <si>
    <t>Доп. соглашение №LBO-LE-9731053950 от 21.04.26</t>
  </si>
  <si>
    <t>https://diadoc.kontur.ru/4100c1d3-2464-4c71-95cc-21ba90d0c907/Document/Show?letterId=d96ef8b1-de67-4271-9600-2c084e39998f&amp;documentId=f4267f25-05be-424a-ba9a-b54aa3a14b17</t>
  </si>
  <si>
    <t>2BM-9731053950-773101001-202004010137003804688</t>
  </si>
  <si>
    <t>="7714700709"</t>
  </si>
  <si>
    <t>="771401001"</t>
  </si>
  <si>
    <t>ООО "БОРИСХОФ ХОЛДИНГ"</t>
  </si>
  <si>
    <t>Доп. соглашение №LBO-LE-7714700709 от 21.04.26</t>
  </si>
  <si>
    <t>https://diadoc.kontur.ru/4100c1d3-2464-4c71-95cc-21ba90d0c907/Document/Show?letterId=c580ed5c-578b-49c9-aec6-b889991efed0&amp;documentId=c4dd8965-f073-4088-80ff-e7f1c44d440b</t>
  </si>
  <si>
    <t>2BM-7714700709-771401001-201412030938541730816</t>
  </si>
  <si>
    <t>="7707009586"</t>
  </si>
  <si>
    <t>="503201001"</t>
  </si>
  <si>
    <t>АО "Сбербанк Лизинг"</t>
  </si>
  <si>
    <t>Доп. соглашение №LBO-LE-7707009586 от 21.04.26</t>
  </si>
  <si>
    <t>https://diadoc.kontur.ru/4100c1d3-2464-4c71-95cc-21ba90d0c907/Document/Show?letterId=09584062-9f8f-4f2f-928f-8b31b20ef403&amp;documentId=db39c0b2-0943-44cb-9080-f4477d9055c0</t>
  </si>
  <si>
    <t>2BM-7707009586-2013012408391209283140000000000</t>
  </si>
  <si>
    <t>="6165125468"</t>
  </si>
  <si>
    <t>="616101001"</t>
  </si>
  <si>
    <t>ООО "Проф ИТ"</t>
  </si>
  <si>
    <t>Доп. соглашение №LBO-LE-6165125468 от 21.04.26</t>
  </si>
  <si>
    <t>https://diadoc.kontur.ru/4100c1d3-2464-4c71-95cc-21ba90d0c907/Document/Show?letterId=779d1b88-a67b-4cac-a33d-ea1030334d0d&amp;documentId=21dff247-a03e-468f-a3e4-e76e10574333</t>
  </si>
  <si>
    <t>2BM-6165125468-2013022203464769820750000000000</t>
  </si>
  <si>
    <t>="7704386240"</t>
  </si>
  <si>
    <t>="772601001"</t>
  </si>
  <si>
    <t>ООО "АЛГОРИТМИКА"</t>
  </si>
  <si>
    <t>Доп. соглашение №LBO-LE-7704386240 от 21.04.26</t>
  </si>
  <si>
    <t>https://diadoc.kontur.ru/4100c1d3-2464-4c71-95cc-21ba90d0c907/Document/Show?letterId=b20505c0-38fc-40ec-8430-9b96d1188c2f&amp;documentId=15d9d41c-f0fe-4f0c-9dee-5500a277953d</t>
  </si>
  <si>
    <t>2BM-7704386240-770401001-201703311232197576430</t>
  </si>
  <si>
    <t>="7714037217"</t>
  </si>
  <si>
    <t>="771501001"</t>
  </si>
  <si>
    <t>АО "ИД "КОМСОМОЛЬСКАЯ ПРАВДА"</t>
  </si>
  <si>
    <t>Доп. соглашение №LBO-LE-7714037217 от 21.04.26</t>
  </si>
  <si>
    <t>https://diadoc.kontur.ru/4100c1d3-2464-4c71-95cc-21ba90d0c907/Document/Show?letterId=09428b5b-3d3b-4295-af44-0ff7c7da4a7f&amp;documentId=018b4320-2f22-40f3-9a08-8999ce68a417</t>
  </si>
  <si>
    <t>2BM-7714037217-2013041906494444838870000000000</t>
  </si>
  <si>
    <t>="5405276278"</t>
  </si>
  <si>
    <t>ООО "ДубльГИС"</t>
  </si>
  <si>
    <t>Доп. соглашение №LBO-LE-5405276278 от 21.04.26</t>
  </si>
  <si>
    <t>https://diadoc.kontur.ru/4100c1d3-2464-4c71-95cc-21ba90d0c907/Document/Show?letterId=7ce88d28-d93a-4eb3-b75e-163bcd207b74&amp;documentId=8d4cd5c9-0592-4e0c-a05c-18cfac223467</t>
  </si>
  <si>
    <t>2BM-5405276278-2012052807475378365240000000000</t>
  </si>
  <si>
    <t>="7736264044"</t>
  </si>
  <si>
    <t>ООО "СБЕРБАНК-ТЕЛЕКОМ"</t>
  </si>
  <si>
    <t>Доп. соглашение №LBO-LE-7736264044 от 21.04.26</t>
  </si>
  <si>
    <t>https://diadoc.kontur.ru/4100c1d3-2464-4c71-95cc-21ba90d0c907/Document/Show?letterId=0fb1ab38-75a6-416a-bcd8-254a26b33107&amp;documentId=b31279d3-3c8b-4f37-aedd-a6595e5acd09</t>
  </si>
  <si>
    <t>2BM-7736264044-773601001-201604250949499477147</t>
  </si>
  <si>
    <t>="7736303529"</t>
  </si>
  <si>
    <t>ООО "АБТ"</t>
  </si>
  <si>
    <t>Доп. соглашение №LBO-LE-7736303529 от 21.04.26</t>
  </si>
  <si>
    <t>https://diadoc.kontur.ru/4100c1d3-2464-4c71-95cc-21ba90d0c907/Document/Show?letterId=f45e8d99-4bd7-4c46-9b9a-ff00ad41dc2f&amp;documentId=9c94b789-c559-43fd-9cb6-98f1544f371e</t>
  </si>
  <si>
    <t>2BM-7736303529-773601001-201901151045071718995</t>
  </si>
  <si>
    <t>="6674330951"</t>
  </si>
  <si>
    <t>="667901001"</t>
  </si>
  <si>
    <t>АО "ГРУППА "СВЭЛ"</t>
  </si>
  <si>
    <t>Доп. соглашение №LBO-LE-6674330951 от 21.04.26</t>
  </si>
  <si>
    <t>https://diadoc.kontur.ru/4100c1d3-2464-4c71-95cc-21ba90d0c907/Document/Show?letterId=49fe7568-ffc3-46a6-aff1-aacb49491fca&amp;documentId=71e7b925-f17b-4bd5-abac-85932f989ad0</t>
  </si>
  <si>
    <t>2BM-6674330951-2012110807072921393260000000000</t>
  </si>
  <si>
    <t>="7730262964"</t>
  </si>
  <si>
    <t>ООО "СБЕРОБРАЗОВАНИЕ"</t>
  </si>
  <si>
    <t>Доп. соглашение №LBO-LE-7730262964 от 21.04.26</t>
  </si>
  <si>
    <t>https://diadoc.kontur.ru/4100c1d3-2464-4c71-95cc-21ba90d0c907/Document/Show?letterId=b396ac29-bc8f-4b7a-b50f-57ced74f89f2&amp;documentId=c8866bc5-935b-440c-b30d-7280a0f5b39d</t>
  </si>
  <si>
    <t>2BM-7730262964-773001001-202104080140096713376</t>
  </si>
  <si>
    <t>="7705664765"</t>
  </si>
  <si>
    <t>="770701001"</t>
  </si>
  <si>
    <t>ЗАО "Группа компаний С 7"</t>
  </si>
  <si>
    <t>Доп. соглашение №LBO-LE-7705664765 от 21.04.26</t>
  </si>
  <si>
    <t>https://diadoc.kontur.ru/4100c1d3-2464-4c71-95cc-21ba90d0c907/Document/Show?letterId=14691c6e-60d1-4bde-9ca0-d9b820425167&amp;documentId=15cd7951-1be1-46f6-90bf-68fa835f6eb2</t>
  </si>
  <si>
    <t>2BM-7705664765-2012052808342199222630000000000</t>
  </si>
  <si>
    <t>="9710011437"</t>
  </si>
  <si>
    <t>ООО "ДОКДОК"</t>
  </si>
  <si>
    <t>Доп. соглашение №LBO-LE-9710011437 от 21.04.26</t>
  </si>
  <si>
    <t>https://diadoc.kontur.ru/4100c1d3-2464-4c71-95cc-21ba90d0c907/Document/Show?letterId=a9e14732-816e-4501-8928-e64a21a4b110&amp;documentId=645b6b5c-47db-40e2-b3f5-f645a1949873</t>
  </si>
  <si>
    <t>2BM-9710011437-771001001-201703091137445169969</t>
  </si>
  <si>
    <t>="9706000111"</t>
  </si>
  <si>
    <t>ООО "ИННОВАЦИОННАЯ МЕДИЦИНА"</t>
  </si>
  <si>
    <t>Доп. соглашение №LBO-LE-9706000111 от 21.04.26</t>
  </si>
  <si>
    <t>https://diadoc.kontur.ru/4100c1d3-2464-4c71-95cc-21ba90d0c907/Document/Show?letterId=279275f3-2bdf-454e-bd89-ae37e09c296f&amp;documentId=16aad7ef-1280-422b-bd8e-07a5764efdb7</t>
  </si>
  <si>
    <t>2BM-9706000111-770601001-201909050127287045284</t>
  </si>
  <si>
    <t>="7710183778"</t>
  </si>
  <si>
    <t>="770301001"</t>
  </si>
  <si>
    <t>АО УК "ПЕРВАЯ"</t>
  </si>
  <si>
    <t>Доп. соглашение №LBO-LE-7710183778 от 21.04.26</t>
  </si>
  <si>
    <t>https://diadoc.kontur.ru/4100c1d3-2464-4c71-95cc-21ba90d0c907/Document/Show?letterId=1a474a11-cb39-4ea8-bd52-76c32e4cd1e8&amp;documentId=04fab41d-b7e4-4a61-8245-90609cb6c583</t>
  </si>
  <si>
    <t>2BM-7710183778-775001001-201409220723375413314</t>
  </si>
  <si>
    <t>="5024093941"</t>
  </si>
  <si>
    <t>АО "СБЕРСИТИ"</t>
  </si>
  <si>
    <t>Доп. соглашение №LBO-LE-5024093941 от 21.04.26</t>
  </si>
  <si>
    <t>https://diadoc.kontur.ru/4100c1d3-2464-4c71-95cc-21ba90d0c907/Document/Show?letterId=6d47a8ec-f5fa-4587-bbd5-60ce21b27c9a&amp;documentId=56483607-e3a0-42c5-ad6c-bf5bbfec27e7</t>
  </si>
  <si>
    <t>2BM-5024093941-2012052808331238502630000000000</t>
  </si>
  <si>
    <t>="7701103751"</t>
  </si>
  <si>
    <t>="770101001"</t>
  </si>
  <si>
    <t>АО "АИФ"</t>
  </si>
  <si>
    <t>Доп. соглашение №LBO-LE-7701103751 от 21.04.26</t>
  </si>
  <si>
    <t>https://diadoc.kontur.ru/4100c1d3-2464-4c71-95cc-21ba90d0c907/Document/Show?letterId=933f7ca8-7dbc-4eb9-b628-4aae4852647c&amp;documentId=c5a6c687-437a-4fa3-93c2-957c66982a6d</t>
  </si>
  <si>
    <t>2BM-7701103751-2013011012115933921680000000000</t>
  </si>
  <si>
    <t>="9710135746"</t>
  </si>
  <si>
    <t>ООО "ЭЙАЙЭКСПЕРТ"</t>
  </si>
  <si>
    <t>Доп. соглашение №LBO-LE-9710135746 от 21.04.26</t>
  </si>
  <si>
    <t>https://diadoc.kontur.ru/4100c1d3-2464-4c71-95cc-21ba90d0c907/Document/Show?letterId=de40fd4e-8c62-45af-bd94-40f95c3126af&amp;documentId=002b0c6b-7db6-4e31-ab94-43bedb314f52</t>
  </si>
  <si>
    <t>2BM-9710135746-771001001-202408210656584132210</t>
  </si>
  <si>
    <t>="7736279160"</t>
  </si>
  <si>
    <t>ООО "ОБЛАЧНЫЕ ТЕХНОЛОГИИ"</t>
  </si>
  <si>
    <t>Доп. соглашение №LBO-LE-7736279160 от 21.04.26</t>
  </si>
  <si>
    <t>Требуется подписать и отправить. На подписании</t>
  </si>
  <si>
    <t>Рыжих Д. А.</t>
  </si>
  <si>
    <t>https://diadoc.kontur.ru/4100c1d3-2464-4c71-95cc-21ba90d0c907/Document/Show?letterId=2639f91a-34cd-4587-aa58-81fcbbba8e9b&amp;documentId=c03c5f96-28f0-46f0-bace-1de817906394</t>
  </si>
  <si>
    <t>="7736128605"</t>
  </si>
  <si>
    <t>АНО ДПО "КОРПОРАТИВНЫЙ УНИВЕРСИТЕТ СБЕРБАНКА", КОРПОРАТИВНЫЙ УНИВЕРСИТЕТ СБЕРБАНКА, СБЕРУНИВЕРСИТЕТ</t>
  </si>
  <si>
    <t>Доп. соглашение №LBO-LE-7736128605 от 21.04.26</t>
  </si>
  <si>
    <t>https://diadoc.kontur.ru/4100c1d3-2464-4c71-95cc-21ba90d0c907/Document/Show?letterId=effd6672-3f8c-4f95-be1e-cd4ece30e501&amp;documentId=bd40a11c-3e82-4e2d-a270-c1302c371b98</t>
  </si>
  <si>
    <t>https://diadoc.kontur.ru/4100c1d3-2464-4c71-95cc-21ba90d0c907/Document/Show?letterId=da31b4ba-962d-4a7a-91ac-b0588be62dfd&amp;documentId=e122fe1a-f890-46e6-b6c5-bbffcf42c248</t>
  </si>
  <si>
    <t>https://diadoc.kontur.ru/4100c1d3-2464-4c71-95cc-21ba90d0c907/Document/Show?letterId=8fcbde8c-a54b-4aa8-b1fc-8f347506da06&amp;documentId=5fe84401-17ba-4796-be79-25c84ee55233</t>
  </si>
  <si>
    <t>="7702019950"</t>
  </si>
  <si>
    <t>АО "КЭПТ"</t>
  </si>
  <si>
    <t>Доп. соглашение №LBO-LE-7702019950 от 21.04.26</t>
  </si>
  <si>
    <t>https://diadoc.kontur.ru/4100c1d3-2464-4c71-95cc-21ba90d0c907/Document/Show?letterId=42ce06a2-1b55-4c65-a27b-06870c9c2fbd&amp;documentId=a6e8e62e-2f7e-46e4-9922-d30bab2ec961</t>
  </si>
  <si>
    <t>="7704017596"</t>
  </si>
  <si>
    <t>="997150001"</t>
  </si>
  <si>
    <t>АО "БАЙЕР"</t>
  </si>
  <si>
    <t>Доп. соглашение №LBO-LE-7704017596 от 21.04.26</t>
  </si>
  <si>
    <t>https://diadoc.kontur.ru/4100c1d3-2464-4c71-95cc-21ba90d0c907/Document/Show?letterId=6f22bc06-97b1-4ebe-897b-12f3d1f0fd92&amp;documentId=9f0a1f0b-a2b9-435e-94dc-4ec81a92d390</t>
  </si>
  <si>
    <t>="9715347247"</t>
  </si>
  <si>
    <t>="770501001"</t>
  </si>
  <si>
    <t>ООО "РОБОВОЙС"</t>
  </si>
  <si>
    <t>Доп. соглашение №LBO-LE-9715347247 от 21.04.26</t>
  </si>
  <si>
    <t>https://diadoc.kontur.ru/4100c1d3-2464-4c71-95cc-21ba90d0c907/Document/Show?letterId=0f8ed590-3003-4783-a909-416dbb357e07&amp;documentId=7f990545-31f3-413f-8618-c17ab103de4f</t>
  </si>
  <si>
    <t>="7715995942"</t>
  </si>
  <si>
    <t>АО "ИЗДАТЕЛЬСТВО "ПРОСВЕЩЕНИЕ"</t>
  </si>
  <si>
    <t>Доп. соглашение №LBO-LE-7715995942 от 21.04.26</t>
  </si>
  <si>
    <t>https://diadoc.kontur.ru/4100c1d3-2464-4c71-95cc-21ba90d0c907/Document/Show?letterId=4b1f8c5b-fc86-47d9-a538-eb8b2d1dbe3d&amp;documentId=7ed7afdb-fca7-4ba1-9c10-3b1c91583ce2</t>
  </si>
  <si>
    <t>="7730269550"</t>
  </si>
  <si>
    <t>ООО "СБЕР БИЗНЕС СОФТ"</t>
  </si>
  <si>
    <t>Доп. соглашение №LBO-LE-7730269550 от 21.04.26</t>
  </si>
  <si>
    <t>Требуется подписать и отправить</t>
  </si>
  <si>
    <t>https://diadoc.kontur.ru/4100c1d3-2464-4c71-95cc-21ba90d0c907/Document/Show?letterId=29bfe4ac-ee45-4a7c-a0a6-3706a6313fe1&amp;documentId=1ef45b11-331d-4c00-a460-f941e0241378</t>
  </si>
  <si>
    <t>="7805093681"</t>
  </si>
  <si>
    <t>ООО "ЦРТ"</t>
  </si>
  <si>
    <t>Доп. соглашение №LBO-LE-7805093681 от 21.04.26</t>
  </si>
  <si>
    <t>https://diadoc.kontur.ru/4100c1d3-2464-4c71-95cc-21ba90d0c907/Document/Show?letterId=72bb46b0-2be9-4ddb-aec2-21b15b953c2a&amp;documentId=9e796057-2927-49cd-b2b6-d851dc45f185</t>
  </si>
  <si>
    <t>="7725745476"</t>
  </si>
  <si>
    <t>ООО "Живой Сайт"</t>
  </si>
  <si>
    <t>Доп. соглашение №LBO-LE-7725745476 от 21.04.26</t>
  </si>
  <si>
    <t>https://diadoc.kontur.ru/4100c1d3-2464-4c71-95cc-21ba90d0c907/Document/Show?letterId=0b538d0b-e8a1-48a0-9ca9-465ddf205cf6&amp;documentId=9c452848-2a71-4064-8c6e-667e3220dadd</t>
  </si>
  <si>
    <t>="7702596813"</t>
  </si>
  <si>
    <t>="390601001"</t>
  </si>
  <si>
    <t>ООО "Бауцентр Рус"</t>
  </si>
  <si>
    <t>Доп. соглашение №LBO-LE-7702596813 от 21.04.26</t>
  </si>
  <si>
    <t>https://diadoc.kontur.ru/4100c1d3-2464-4c71-95cc-21ba90d0c907/Document/Show?letterId=6b3acb60-c91c-4b56-981b-ab967e41e922&amp;documentId=d30c6f26-2ed1-499d-96a4-f04236f5b5bf</t>
  </si>
  <si>
    <t>="9705118142"</t>
  </si>
  <si>
    <t>="775101001"</t>
  </si>
  <si>
    <t>ООО "ИНСТАМАРТ СЕРВИС"</t>
  </si>
  <si>
    <t>Доп. соглашение №LBO-LE-9705118142 от 21.04.26</t>
  </si>
  <si>
    <t>https://diadoc.kontur.ru/4100c1d3-2464-4c71-95cc-21ba90d0c907/Document/Show?letterId=7ae6dcdb-7528-4fec-bac9-9f468e9a1308&amp;documentId=774cfa72-9e67-498c-97a3-645f4c99cdd5</t>
  </si>
  <si>
    <t>="7736319695"</t>
  </si>
  <si>
    <t>ООО "С-МАРКЕТИНГ"</t>
  </si>
  <si>
    <t>Доп. соглашение №LBO-LE-7736319695 от 21.04.26</t>
  </si>
  <si>
    <t>https://diadoc.kontur.ru/4100c1d3-2464-4c71-95cc-21ba90d0c907/Document/Show?letterId=2bcfa11b-5d4f-4fee-a89c-81354f1ffdee&amp;documentId=8d343abe-28f0-4fc4-87af-d64b6537841c</t>
  </si>
  <si>
    <t>="1835056809"</t>
  </si>
  <si>
    <t>="184001001"</t>
  </si>
  <si>
    <t>ООО "ДИРЕКТУМ"</t>
  </si>
  <si>
    <t>Доп. соглашение №LBO-LE-1835056809 от 21.04.26</t>
  </si>
  <si>
    <t>https://diadoc.kontur.ru/4100c1d3-2464-4c71-95cc-21ba90d0c907/Document/Show?letterId=ad48981f-3dfa-4d6e-8c09-88a457f694d3&amp;documentId=f74b5e84-ae72-40f6-826a-7e9b89cfa104</t>
  </si>
  <si>
    <t>="5047243826"</t>
  </si>
  <si>
    <t>="504701001"</t>
  </si>
  <si>
    <t>ООО "КД-СИСТЕМС"</t>
  </si>
  <si>
    <t>Доп. соглашение №LBO-LE-5047243826 от 21.04.26</t>
  </si>
  <si>
    <t>https://diadoc.kontur.ru/4100c1d3-2464-4c71-95cc-21ba90d0c907/Document/Show?letterId=4700d11c-9eca-44c4-8636-a92e6c8092d3&amp;documentId=baa26fdb-3f35-49fe-bec8-0e65a3ac86fe</t>
  </si>
  <si>
    <t>="7203518506"</t>
  </si>
  <si>
    <t>="720301001"</t>
  </si>
  <si>
    <t>ООО "СЛАЙДЕР ПРЕЗЕНТАЦИИ"</t>
  </si>
  <si>
    <t>Доп. соглашение №LBO-LE-7203518506 от 21.04.26</t>
  </si>
  <si>
    <t>https://diadoc.kontur.ru/4100c1d3-2464-4c71-95cc-21ba90d0c907/Document/Show?letterId=61218573-0e48-4151-a401-1ea87e35aa37&amp;documentId=a42f4a5b-0cbd-4a8e-8897-14a0ef1fa89b</t>
  </si>
  <si>
    <t>="7703435262"</t>
  </si>
  <si>
    <t>ООО "РЭДМЭДРОБОТ МСК"</t>
  </si>
  <si>
    <t>Доп. соглашение №LBO-LE-7703435262 от 21.04.26</t>
  </si>
  <si>
    <t>https://diadoc.kontur.ru/4100c1d3-2464-4c71-95cc-21ba90d0c907/Document/Show?letterId=ac32a4e1-7f0b-4077-8322-5c689a2628fc&amp;documentId=5e0e00ef-3d29-4485-8fab-9dcf7f374a9b</t>
  </si>
  <si>
    <t>="7736227885"</t>
  </si>
  <si>
    <t>="774950001"</t>
  </si>
  <si>
    <t>ПАО "СОФТЛАЙН"</t>
  </si>
  <si>
    <t>Доп. соглашение №LBO-LE-7736227885 от 21.04.26</t>
  </si>
  <si>
    <t>https://diadoc.kontur.ru/4100c1d3-2464-4c71-95cc-21ba90d0c907/Document/Show?letterId=d3fb0060-86fd-4be9-a622-a982e81e88d5&amp;documentId=ebbc9b66-2caa-4378-85d6-1f2efd5f85ea</t>
  </si>
  <si>
    <t>="7709969870"</t>
  </si>
  <si>
    <t>="770901001"</t>
  </si>
  <si>
    <t>ООО "РДВ-СОФТ"</t>
  </si>
  <si>
    <t>Доп. соглашение №LBO-LE-7709969870 от 21.04.26</t>
  </si>
  <si>
    <t>https://diadoc.kontur.ru/4100c1d3-2464-4c71-95cc-21ba90d0c907/Document/Show?letterId=fffcedeb-d9ea-4ef7-83b8-f528b9e902b2&amp;documentId=baea60e1-9b24-4764-9911-3a1c33af99d7</t>
  </si>
  <si>
    <t>="1615014289"</t>
  </si>
  <si>
    <t>="161501001"</t>
  </si>
  <si>
    <t>ООО "ИТ ИКС 5 ТЕХНОЛОГИИ"</t>
  </si>
  <si>
    <t>Доп. соглашение №LBO-LE-1615014289 от 21.04.26</t>
  </si>
  <si>
    <t>https://diadoc.kontur.ru/4100c1d3-2464-4c71-95cc-21ba90d0c907/Document/Show?letterId=f21da06f-4fdc-4de5-8b57-c1223069eefe&amp;documentId=09556b58-ceb6-4608-818a-dc8fef8957d4</t>
  </si>
  <si>
    <t>="7839438486"</t>
  </si>
  <si>
    <t>="780201001"</t>
  </si>
  <si>
    <t>ООО "ЦРТ-инновации"</t>
  </si>
  <si>
    <t>Доп. соглашение №LBO-LE-7839438486 от 21.04.26</t>
  </si>
  <si>
    <t>https://diadoc.kontur.ru/4100c1d3-2464-4c71-95cc-21ba90d0c907/Document/Show?letterId=33aff07c-db41-4461-bdec-9a496609515f&amp;documentId=22496147-ca1c-49b9-b332-3e8dc8f56188</t>
  </si>
  <si>
    <t>="5408130693"</t>
  </si>
  <si>
    <t>="997350001"</t>
  </si>
  <si>
    <t>АО НПК "КАТРЕН"</t>
  </si>
  <si>
    <t>Доп. соглашение №LBO-LE-5408130693 от 21.04.26</t>
  </si>
  <si>
    <t>https://diadoc.kontur.ru/4100c1d3-2464-4c71-95cc-21ba90d0c907/Document/Show?letterId=28afdb72-0e51-4d63-bc8a-8949714517fa&amp;documentId=3b1b852c-f25a-4e96-8559-93d091ce88a8</t>
  </si>
  <si>
    <t>="7811753424"</t>
  </si>
  <si>
    <t>="781001001"</t>
  </si>
  <si>
    <t>ООО "ОЗБЭТТЕРИЗ"</t>
  </si>
  <si>
    <t>Доп. соглашение №LBO-LE-7811753424 от 21.04.26</t>
  </si>
  <si>
    <t>https://diadoc.kontur.ru/4100c1d3-2464-4c71-95cc-21ba90d0c907/Document/Show?letterId=144c8b91-e507-4a0b-b827-17068f1ee5fc&amp;documentId=bbbbc8f5-5a4c-40b5-adad-87aaf989d2c9</t>
  </si>
  <si>
    <t>="9709067058"</t>
  </si>
  <si>
    <t>ООО "ГЛОУБАЙТ СОФТ"</t>
  </si>
  <si>
    <t>Доп. соглашение №LBO-LE-9709067058 от 21.04.26</t>
  </si>
  <si>
    <t>https://diadoc.kontur.ru/4100c1d3-2464-4c71-95cc-21ba90d0c907/Document/Show?letterId=75916242-992b-4650-8921-40c2918ceae8&amp;documentId=613a91d2-d610-4c2a-a3c9-defd3de421d5</t>
  </si>
  <si>
    <t>="7702609477"</t>
  </si>
  <si>
    <t>="774301001"</t>
  </si>
  <si>
    <t>ООО "ЮНИСТАР ДИДЖИТАЛ"</t>
  </si>
  <si>
    <t>Доп. соглашение №LBO-LE-7702609477 от 21.04.26</t>
  </si>
  <si>
    <t>https://diadoc.kontur.ru/4100c1d3-2464-4c71-95cc-21ba90d0c907/Document/Show?letterId=cc34e782-c544-4989-a1c5-cd71f6a24e54&amp;documentId=efaeeff6-1b68-4e15-85b2-5bddf9892ca0</t>
  </si>
  <si>
    <t>="9731065465"</t>
  </si>
  <si>
    <t>="773101001"</t>
  </si>
  <si>
    <t>ООО "СБЕРМЕДИИ"</t>
  </si>
  <si>
    <t>Доп. соглашение №LBO-LE-9731065465 от 21.04.26</t>
  </si>
  <si>
    <t>https://diadoc.kontur.ru/4100c1d3-2464-4c71-95cc-21ba90d0c907/Document/Show?letterId=bf6924e7-71da-4323-8f6d-81bca3bcb9c3&amp;documentId=c4b1a76c-de5c-4fc1-87b9-69cc4738bafe</t>
  </si>
  <si>
    <t>="6320075951"</t>
  </si>
  <si>
    <t>="632001001"</t>
  </si>
  <si>
    <t>ООО "РУТКОД АЙТИ ДЕВЕЛОПМЕНТ"</t>
  </si>
  <si>
    <t>Доп. соглашение №LBO-LE-6320075951 от 21.04.26</t>
  </si>
  <si>
    <t>https://diadoc.kontur.ru/4100c1d3-2464-4c71-95cc-21ba90d0c907/Document/Show?letterId=55a070a1-67cc-4ffa-89cf-3852dd3cab82&amp;documentId=4f6856d2-a450-46e6-a617-44f3777b8a63</t>
  </si>
  <si>
    <t>="9709054813"</t>
  </si>
  <si>
    <t>ООО "СБЕРАВТО"</t>
  </si>
  <si>
    <t>Доп. соглашение №LBO-LE-9709054813 от 21.04.26</t>
  </si>
  <si>
    <t>https://diadoc.kontur.ru/4100c1d3-2464-4c71-95cc-21ba90d0c907/Document/Show?letterId=0964e641-2fa1-4e4d-b529-1d7b00e26280&amp;documentId=42bdd24a-6305-45d0-a922-ac59d38316ea</t>
  </si>
  <si>
    <t>="1106010917"</t>
  </si>
  <si>
    <t>ООО "АКС"</t>
  </si>
  <si>
    <t>Доп. соглашение №LBO-LE-1106010917 от 21.04.26</t>
  </si>
  <si>
    <t>https://diadoc.kontur.ru/4100c1d3-2464-4c71-95cc-21ba90d0c907/Document/Show?letterId=97cf189a-9d0f-4baf-bac2-99f6f282ab5d&amp;documentId=d15bd043-2a7b-4418-bbfd-1b44e8b2deb9</t>
  </si>
  <si>
    <t>="3460062918"</t>
  </si>
  <si>
    <t>="344401001"</t>
  </si>
  <si>
    <t>ООО "ХЕППИВЕАР ЮГ"</t>
  </si>
  <si>
    <t>Доп. соглашение №LBO-LE-3460062918 от 21.04.26</t>
  </si>
  <si>
    <t>https://diadoc.kontur.ru/4100c1d3-2464-4c71-95cc-21ba90d0c907/Document/Show?letterId=476672fa-2286-4a4e-bc9e-ef89d5c281e8&amp;documentId=1c073372-724b-475e-a4b2-0fe51ee8c49b</t>
  </si>
  <si>
    <t>="3812014066"</t>
  </si>
  <si>
    <t>="381201001"</t>
  </si>
  <si>
    <t>ИРНИТУ, ФГБОУ ВО "ИРНИТУ", "ИРКУТСКИЙ ПОЛИТЕХ"</t>
  </si>
  <si>
    <t>Доп. соглашение №LBO-LE-3812014066 от 21.04.26</t>
  </si>
  <si>
    <t>https://diadoc.kontur.ru/4100c1d3-2464-4c71-95cc-21ba90d0c907/Document/Show?letterId=acc434a3-c17e-4b1f-b91f-9e3d4b91dfeb&amp;documentId=36399ca7-465e-49a5-8f6b-d2de3424d969</t>
  </si>
  <si>
    <t>="5045016560"</t>
  </si>
  <si>
    <t>ООО "Марс"</t>
  </si>
  <si>
    <t>Доп. соглашение №LBO-LE-5045016560 от 21.04.26</t>
  </si>
  <si>
    <t>https://diadoc.kontur.ru/4100c1d3-2464-4c71-95cc-21ba90d0c907/Document/Show?letterId=9dbf98c4-2f7d-449a-9c29-9ecc8113bed8&amp;documentId=7897fca0-d4e3-4186-8370-72f430726361</t>
  </si>
  <si>
    <t>="6905062011"</t>
  </si>
  <si>
    <t>АО "ДКС"</t>
  </si>
  <si>
    <t>Доп. соглашение №LBO-LE-6905062011 от 21.04.26</t>
  </si>
  <si>
    <t>https://diadoc.kontur.ru/4100c1d3-2464-4c71-95cc-21ba90d0c907/Document/Show?letterId=1db40d2f-58f6-4c1e-a1d8-db3112bdea1d&amp;documentId=d37df6e8-eb17-45ac-b66d-e0b8140e7c9a</t>
  </si>
  <si>
    <t>="1657203961"</t>
  </si>
  <si>
    <t>="168301001"</t>
  </si>
  <si>
    <t>ООО "ИМПЛЕКС"</t>
  </si>
  <si>
    <t>Доп. соглашение №LBO-LE-1657203961 от 21.04.26</t>
  </si>
  <si>
    <t>https://diadoc.kontur.ru/4100c1d3-2464-4c71-95cc-21ba90d0c907/Document/Show?letterId=4577a335-3abe-4a26-a414-99ea818841a7&amp;documentId=fdeda9a2-002e-4b10-929d-5b4f31d1be13</t>
  </si>
  <si>
    <t>="9731026963"</t>
  </si>
  <si>
    <t>ООО "СМАРТ КОНСТРАКШН"</t>
  </si>
  <si>
    <t>Доп. соглашение №LBO-LE-9731026963 от 21.04.26</t>
  </si>
  <si>
    <t>https://diadoc.kontur.ru/4100c1d3-2464-4c71-95cc-21ba90d0c907/Document/Show?letterId=7c5bc887-5a0f-4d0b-a942-b1dbe8b0e05c&amp;documentId=104185aa-b428-47c2-a163-644803102afa</t>
  </si>
  <si>
    <t>="7708328948"</t>
  </si>
  <si>
    <t>="770801001"</t>
  </si>
  <si>
    <t>ООО "ЗВУК"</t>
  </si>
  <si>
    <t>Доп. соглашение №LBO-LE-7708328948 от 21.04.26</t>
  </si>
  <si>
    <t>https://diadoc.kontur.ru/4100c1d3-2464-4c71-95cc-21ba90d0c907/Document/Show?letterId=02cf6236-5056-4b1a-ac32-a813f2646409&amp;documentId=2cfaa4a1-9ed3-4e37-9177-641418b3a3a5</t>
  </si>
  <si>
    <t>="7717586110"</t>
  </si>
  <si>
    <t>ООО "1С-Битрикс"</t>
  </si>
  <si>
    <t>Доп. соглашение №LBO-LE-7717586110 от 21.04.26</t>
  </si>
  <si>
    <t>https://diadoc.kontur.ru/4100c1d3-2464-4c71-95cc-21ba90d0c907/Document/Show?letterId=fb29d128-a8f3-49e0-b45d-6cc0247e2f33&amp;documentId=6db8b825-5d93-4467-8506-107415352063</t>
  </si>
  <si>
    <t>="7736249247"</t>
  </si>
  <si>
    <t>ООО "ДОМКЛИК"</t>
  </si>
  <si>
    <t>Доп. соглашение №LBO-LE-7736249247 от 21.04.26</t>
  </si>
  <si>
    <t>https://diadoc.kontur.ru/4100c1d3-2464-4c71-95cc-21ba90d0c907/Document/Show?letterId=3e8bf875-5b7c-4767-99fb-1b40a4a05719&amp;documentId=4801cc52-7954-44ef-b830-87c5afe61d97</t>
  </si>
  <si>
    <t>="7750005725"</t>
  </si>
  <si>
    <t>ООО НКО "ЮМАНИ"</t>
  </si>
  <si>
    <t>Доп. соглашение №LBO-LE-7750005725 от 21.04.26</t>
  </si>
  <si>
    <t>https://diadoc.kontur.ru/4100c1d3-2464-4c71-95cc-21ba90d0c907/Document/Show?letterId=39806f2a-8c12-473e-a17c-dd06b299dcbd&amp;documentId=5b391afa-8066-4de5-9e26-a852b4a66510</t>
  </si>
  <si>
    <t>="7736316133"</t>
  </si>
  <si>
    <t>АНО "ШКОЛА 21"</t>
  </si>
  <si>
    <t>Доп. соглашение №LBS-LE-7736316133 от 21.04.26</t>
  </si>
  <si>
    <t>https://diadoc.kontur.ru/4100c1d3-2464-4c71-95cc-21ba90d0c907/Document/Show?letterId=5e7ec2c5-7521-49b3-8c3c-d9132ed3a7e9&amp;documentId=5c24e488-296b-4287-b028-0d0e83f46542</t>
  </si>
  <si>
    <t>="7713076301"</t>
  </si>
  <si>
    <t>ПАО "ВымпелКом"</t>
  </si>
  <si>
    <t>Доп. соглашение №LBS-LE-7713076301 от 21.04.26</t>
  </si>
  <si>
    <t>https://diadoc.kontur.ru/4100c1d3-2464-4c71-95cc-21ba90d0c907/Document/Show?letterId=afd91d10-d12a-476e-92f6-6303286ada7b&amp;documentId=c663de3b-435d-4db0-bff3-c7a203deb2d0</t>
  </si>
  <si>
    <t>="1435115880"</t>
  </si>
  <si>
    <t>="143501001"</t>
  </si>
  <si>
    <t>АГУИККИ, ФГБОУ ВО "АГУИККИ", АРКТИЧЕСКИЙ ГОСУДАРСТВЕННЫЙ УНИВЕРСИТЕТ ИСКУССТВ, КУЛЬТУРЫ И КРЕАТИВНЫХ ИНДУСТРИЙ</t>
  </si>
  <si>
    <t>Доп. соглашение №LBS-LE-1435115880 от 21.04.26</t>
  </si>
  <si>
    <t>https://diadoc.kontur.ru/4100c1d3-2464-4c71-95cc-21ba90d0c907/Document/Show?letterId=89da7ad4-2353-4e10-822b-236c5be3296d&amp;documentId=a0ec4ecb-578d-42a3-98b2-2d372ceec49c</t>
  </si>
  <si>
    <t>="6662005668"</t>
  </si>
  <si>
    <t>="668501001"</t>
  </si>
  <si>
    <t>ФБУ "УРАЛТЕСТ"</t>
  </si>
  <si>
    <t>Доп. соглашение №LBS-LE-6662005668 от 21.04.26</t>
  </si>
  <si>
    <t>https://diadoc.kontur.ru/4100c1d3-2464-4c71-95cc-21ba90d0c907/Document/Show?letterId=27b69916-4f16-41de-b680-6330b1008438&amp;documentId=0e78d192-d36a-499f-a074-043431fce192</t>
  </si>
  <si>
    <t>="1901120231"</t>
  </si>
  <si>
    <t>="190101001"</t>
  </si>
  <si>
    <t>ГАУ РХ "ЦИНТ ХАКАСИИ"</t>
  </si>
  <si>
    <t>Доп. соглашение №LBS-LE-1901120231 от 21.04.26</t>
  </si>
  <si>
    <t>https://diadoc.kontur.ru/4100c1d3-2464-4c71-95cc-21ba90d0c907/Document/Show?letterId=0724112c-f0ab-47e6-8ebe-d3e5961222b5&amp;documentId=b7ef9b5f-fcef-46d2-b133-d457bc872e37</t>
  </si>
  <si>
    <t>="7707308480"</t>
  </si>
  <si>
    <t>="770401001"</t>
  </si>
  <si>
    <t>АО "СБЕРБАНК - АСТ"</t>
  </si>
  <si>
    <t>Доп. соглашение №LBS-LE-7707308480 от 21.04.26</t>
  </si>
  <si>
    <t>https://diadoc.kontur.ru/4100c1d3-2464-4c71-95cc-21ba90d0c907/Document/Show?letterId=fc15a183-3893-450f-a504-a24755777905&amp;documentId=07be06e7-15b1-463a-abd7-17f41cd6360b</t>
  </si>
  <si>
    <t>="7728312865"</t>
  </si>
  <si>
    <t>="772801001"</t>
  </si>
  <si>
    <t>ООО "АСТ ГОЗ"</t>
  </si>
  <si>
    <t>Доп. соглашение №LBS-LE-7728312865 от 21.04.26</t>
  </si>
  <si>
    <t>https://diadoc.kontur.ru/4100c1d3-2464-4c71-95cc-21ba90d0c907/Document/Show?letterId=8ab99c23-d42c-43d7-b3ab-bd05af1bf735&amp;documentId=a1df1d64-bcff-4592-9e0d-b5319547ad55</t>
  </si>
  <si>
    <t>="7811701440"</t>
  </si>
  <si>
    <t>="781101001"</t>
  </si>
  <si>
    <t>БФ "ЧЕСТЬ ИМЕЮ"</t>
  </si>
  <si>
    <t>Доп. соглашение №LBS-LE-7811701440 от 21.04.26</t>
  </si>
  <si>
    <t>https://diadoc.kontur.ru/4100c1d3-2464-4c71-95cc-21ba90d0c907/Document/Show?letterId=6eb89f75-f33d-4da8-a8bf-912bd606503b&amp;documentId=7a6f607e-1d97-49e2-ab10-b0dbd6e7a96c</t>
  </si>
  <si>
    <t>="1655258235"</t>
  </si>
  <si>
    <t>АНО ВО "УНИВЕРСИТЕТ ИННОПОЛИС"</t>
  </si>
  <si>
    <t>Доп. соглашение №LBS-LE-1655258235 от 21.04.26</t>
  </si>
  <si>
    <t>https://diadoc.kontur.ru/4100c1d3-2464-4c71-95cc-21ba90d0c907/Document/Show?letterId=f91cebb8-2a3a-4046-9eff-d654e392e13c&amp;documentId=c58aa227-9f5b-4853-86ec-95c7ad79be38</t>
  </si>
  <si>
    <t>="5045073872"</t>
  </si>
  <si>
    <t>="504501001"</t>
  </si>
  <si>
    <t>ООО "АЙТИМЕДИКА"</t>
  </si>
  <si>
    <t>Доп. соглашение №LBS-LE-5045073872 от 21.04.26</t>
  </si>
  <si>
    <t>https://diadoc.kontur.ru/4100c1d3-2464-4c71-95cc-21ba90d0c907/Document/Show?letterId=350da484-3946-4e09-9466-c73f209ec2e0&amp;documentId=4d15852c-ccf5-4c2e-bbfc-9ddd01fe0ea8</t>
  </si>
  <si>
    <t>="2225004738"</t>
  </si>
  <si>
    <t>="222501001"</t>
  </si>
  <si>
    <t>ФГБОУ ВО "АЛТАЙСКИЙ ГОСУДАРСТВЕННЫЙ УНИВЕРСИТЕТ",АЛТГУ,АЛТАЙСКИЙ ГОСУДАРСТВЕННЫЙ УНИВЕРСИТЕТ</t>
  </si>
  <si>
    <t>Доп. соглашение №LBS-LE-2225004738 от 21.04.26</t>
  </si>
  <si>
    <t>https://diadoc.kontur.ru/4100c1d3-2464-4c71-95cc-21ba90d0c907/Document/Show?letterId=cf3028fd-9483-493d-b8aa-2899c90f4caa&amp;documentId=d9ab08f7-938e-4d5c-ae06-7e95407043f4</t>
  </si>
  <si>
    <t>="7449006184"</t>
  </si>
  <si>
    <t>="744901001"</t>
  </si>
  <si>
    <t>ПАО ЧКПЗ</t>
  </si>
  <si>
    <t>Доп. соглашение №LBS-LE-7449006184 от 21.04.26</t>
  </si>
  <si>
    <t>https://diadoc.kontur.ru/4100c1d3-2464-4c71-95cc-21ba90d0c907/Document/Show?letterId=70475ea8-a196-4591-a21e-2469772f72b6&amp;documentId=de2dece1-231d-4463-a3e3-91c94f085df7</t>
  </si>
  <si>
    <t>https://diadoc.kontur.ru/4100c1d3-2464-4c71-95cc-21ba90d0c907/Document/Show?letterId=0d2a7233-f040-493c-8ca4-cf74fa485e9d&amp;documentId=e1e4c8a1-6ad4-4cbe-af9a-6aa910c760d3</t>
  </si>
  <si>
    <t>="7714030726"</t>
  </si>
  <si>
    <t>НАЦИОНАЛЬНЫЙ ИССЛЕДОВАТЕЛЬСКИЙ УНИВЕРСИТЕТ "ВЫСШАЯ ШКОЛА ЭКОНОМИКИ", НИУ "ВЫСШАЯ ШКОЛА ЭКОНОМИКИ", ВЫСШАЯ ШКОЛА ЭКОНОМИКИ, НИУ ВШЭ, ВШЭ</t>
  </si>
  <si>
    <t>Доп. соглашение №LBS-LE-7714030726 от 21.04.26</t>
  </si>
  <si>
    <t>https://diadoc.kontur.ru/4100c1d3-2464-4c71-95cc-21ba90d0c907/Document/Show?letterId=a2b7363c-3a7b-4ed1-9db5-117dbb3939e4&amp;documentId=c8be2363-382e-4dd4-9327-e678b10a56f3</t>
  </si>
  <si>
    <t>="7724890784"</t>
  </si>
  <si>
    <t>АО "ОРМАТЕК"</t>
  </si>
  <si>
    <t>Доп. соглашение №LBS-LE-7724890784 от 21.04.26</t>
  </si>
  <si>
    <t>https://diadoc.kontur.ru/4100c1d3-2464-4c71-95cc-21ba90d0c907/Document/Show?letterId=b4d90e56-c67d-4b09-8abd-676a321cb414&amp;documentId=4be71e90-11e0-4daa-b759-7391ef3bb6e4</t>
  </si>
  <si>
    <t>="7707049388"</t>
  </si>
  <si>
    <t>="770545001"</t>
  </si>
  <si>
    <t>Корпоративный Центр ПАО «Ростелеком»</t>
  </si>
  <si>
    <t>Доп. соглашение №LBO-LE-7707049388 от 22.04.26</t>
  </si>
  <si>
    <t>https://diadoc.kontur.ru/4100c1d3-2464-4c71-95cc-21ba90d0c907/Document/Show?letterId=e0f4d7d5-8f4a-4338-abe5-a5895b4a67e5&amp;documentId=ab83c72b-ecee-4d2f-ae42-c0140aaabcd0</t>
  </si>
  <si>
    <t>Доп. соглашение №LBO-LE-7743001840 от 22.04.26</t>
  </si>
  <si>
    <t>https://diadoc.kontur.ru/4100c1d3-2464-4c71-95cc-21ba90d0c907/Document/Show?letterId=976d3ce4-3a08-4444-a75d-bf78f78cf611&amp;documentId=a0ed2367-ab5d-44c3-9c0a-03220d83ded4</t>
  </si>
  <si>
    <t>="7813286694"</t>
  </si>
  <si>
    <t>="781301001"</t>
  </si>
  <si>
    <t>ООО "МАИНД КРАФТ"</t>
  </si>
  <si>
    <t>Доп. соглашение №LBO-LE-7813286694 от 22.04.26</t>
  </si>
  <si>
    <t>https://diadoc.kontur.ru/4100c1d3-2464-4c71-95cc-21ba90d0c907/Document/Show?letterId=65c7d854-9ff8-46a8-b12e-4561be01ec77&amp;documentId=f8e87405-0671-4a18-8188-474f63d81cdd</t>
  </si>
  <si>
    <t>="9729292654"</t>
  </si>
  <si>
    <t>="772901001"</t>
  </si>
  <si>
    <t>ООО "АДАПТИВНЫЕ ТЕХНОЛОГИИ РАЗВИТИЯ"</t>
  </si>
  <si>
    <t>Доп. соглашение №LBO-LE-9729292654 от 22.04.26</t>
  </si>
  <si>
    <t>https://diadoc.kontur.ru/4100c1d3-2464-4c71-95cc-21ba90d0c907/Document/Show?letterId=2c8edd22-c03c-4fb8-9584-ae2359e06387&amp;documentId=8dad496f-445c-452f-a592-4f4dc8abed59</t>
  </si>
  <si>
    <t>="2540022316"</t>
  </si>
  <si>
    <t>="254001001"</t>
  </si>
  <si>
    <t>ФГБУ "Приморское УГМС"</t>
  </si>
  <si>
    <t>Доп. соглашение №LBS-LE-2540022316 от 22.04.26</t>
  </si>
  <si>
    <t>https://diadoc.kontur.ru/4100c1d3-2464-4c71-95cc-21ba90d0c907/Document/Show?letterId=a8f9013c-1f71-42a3-a86b-a0b375cfcc05&amp;documentId=b0b96332-fa3a-4cc5-8cfc-80a0ec3677f6</t>
  </si>
  <si>
    <t>="7744002123"</t>
  </si>
  <si>
    <t>ООО СК "СБЕРБАНК СТРАХОВАНИЕ ЖИЗНИ"</t>
  </si>
  <si>
    <t>Доп. соглашение №LBS-LE-7744002123 от 22.04.26</t>
  </si>
  <si>
    <t>https://diadoc.kontur.ru/4100c1d3-2464-4c71-95cc-21ba90d0c907/Document/Show?letterId=d12d8afc-056d-47c3-8002-c05afb5d588e&amp;documentId=7721357e-c329-440f-8035-52ffb08a4fe1</t>
  </si>
  <si>
    <t>="7702454880"</t>
  </si>
  <si>
    <t>АО ГК "НЕОЛАНТ"</t>
  </si>
  <si>
    <t>Доп. соглашение №LBS-LE-7702454880 от 22.04.26</t>
  </si>
  <si>
    <t>https://diadoc.kontur.ru/4100c1d3-2464-4c71-95cc-21ba90d0c907/Document/Show?letterId=f54147d5-c6b7-49ad-9587-163e11ada05e&amp;documentId=872619d5-dbc4-480c-bbdd-c15dcb0d654d</t>
  </si>
  <si>
    <t>="1435236532"</t>
  </si>
  <si>
    <t>ГБУ РС (Я) "РЦИТ"</t>
  </si>
  <si>
    <t>Доп. соглашение №LBS-LE-1435236532 от 22.04.26</t>
  </si>
  <si>
    <t>https://diadoc.kontur.ru/4100c1d3-2464-4c71-95cc-21ba90d0c907/Document/Show?letterId=7c9f94c4-83db-4d24-9e47-efc9e18b9b2d&amp;documentId=8bf4f919-85ef-4081-84bb-a2adebb1f5bf</t>
  </si>
  <si>
    <t>="6671094142"</t>
  </si>
  <si>
    <t>="667101001"</t>
  </si>
  <si>
    <t>ООО "ПСС"</t>
  </si>
  <si>
    <t>Доп. соглашение №LBS-LE-6671094142 от 22.04.26</t>
  </si>
  <si>
    <t>https://diadoc.kontur.ru/4100c1d3-2464-4c71-95cc-21ba90d0c907/Document/Show?letterId=695da56c-3d67-47bc-be05-f1c8fc4ed654&amp;documentId=52df72d7-6488-49d5-9ca7-f7b0380ccace</t>
  </si>
  <si>
    <t>="6102061451"</t>
  </si>
  <si>
    <t>="610201001"</t>
  </si>
  <si>
    <t>ООО "МИЛЕНД"</t>
  </si>
  <si>
    <t>Доп. соглашение №LBS-LE-6102061451 от 22.04.26</t>
  </si>
  <si>
    <t>https://diadoc.kontur.ru/4100c1d3-2464-4c71-95cc-21ba90d0c907/Document/Show?letterId=f66fcafb-74cf-4d55-820b-44dd272c9fc5&amp;documentId=1b5c4622-365a-477e-9a74-f5762cfde553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</si>
</sst>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vertical="top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22" fontId="0" fillId="0" borderId="0" xfId="0" applyNumberFormat="1" applyAlignment="1">
      <alignment vertical="top"/>
    </xf>
    <xf numFmtId="0" fontId="0" fillId="0" borderId="0" xfId="0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0"/>
  <sheetViews>
    <sheetView tabSelected="1" topLeftCell="S88" workbookViewId="0">
      <selection activeCell="C5" sqref="C5"/>
    </sheetView>
  </sheetViews>
  <sheetFormatPr baseColWidth="10" defaultRowHeight="16" x14ac:dyDescent="0.2"/>
  <cols>
    <col min="1" max="1" width="13.5" bestFit="1" customWidth="1"/>
    <col min="2" max="2" width="12.5" bestFit="1" customWidth="1"/>
    <col min="3" max="3" width="35.5" customWidth="1"/>
    <col min="4" max="4" width="45.1640625" bestFit="1" customWidth="1"/>
    <col min="5" max="5" width="17.83203125" bestFit="1" customWidth="1"/>
    <col min="6" max="6" width="14.1640625" bestFit="1" customWidth="1"/>
    <col min="7" max="7" width="5.83203125" bestFit="1" customWidth="1"/>
    <col min="8" max="8" width="21.5" bestFit="1" customWidth="1"/>
    <col min="9" max="9" width="5" bestFit="1" customWidth="1"/>
    <col min="10" max="12" width="8.83203125" bestFit="1" customWidth="1"/>
    <col min="13" max="13" width="15" bestFit="1" customWidth="1"/>
    <col min="14" max="14" width="43.6640625" bestFit="1" customWidth="1"/>
    <col min="15" max="15" width="16.83203125" bestFit="1" customWidth="1"/>
    <col min="16" max="16" width="21.5" bestFit="1" customWidth="1"/>
    <col min="17" max="17" width="43.33203125" bestFit="1" customWidth="1"/>
    <col min="18" max="18" width="18.5" bestFit="1" customWidth="1"/>
    <col min="19" max="19" width="80.6640625" style="2" bestFit="1" customWidth="1"/>
    <col min="20" max="20" width="61.5" style="2" customWidth="1"/>
    <col min="21" max="21" width="7.1640625" bestFit="1" customWidth="1"/>
    <col min="22" max="22" width="65.1640625" customWidth="1"/>
  </cols>
  <sheetData>
    <row r="1" spans="1:22" ht="17" customHeight="1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2" t="s">
        <v>18</v>
      </c>
      <c r="T1" s="2" t="s">
        <v>19</v>
      </c>
      <c r="U1" t="s">
        <v>20</v>
      </c>
      <c r="V1" t="s">
        <v>21</v>
      </c>
    </row>
    <row r="2" spans="1:22" s="4" customFormat="1" ht="68" customHeight="1" x14ac:dyDescent="0.2">
      <c r="A2" s="3" t="s">
        <v>22</v>
      </c>
      <c r="B2" s="3" t="s">
        <v>23</v>
      </c>
      <c r="C2" s="4" t="s">
        <v>24</v>
      </c>
      <c r="D2" s="4" t="s">
        <v>25</v>
      </c>
      <c r="E2" s="4" t="str">
        <f>"LBO-LE-7736632467"</f>
        <v>LBO-LE-7736632467</v>
      </c>
      <c r="F2" s="5">
        <v>46132</v>
      </c>
      <c r="H2" s="4" t="s">
        <v>26</v>
      </c>
      <c r="M2" s="6">
        <v>46132.752870370372</v>
      </c>
      <c r="N2" s="4" t="s">
        <v>27</v>
      </c>
      <c r="P2" s="6">
        <v>46132.752870370372</v>
      </c>
      <c r="Q2" s="4" t="s">
        <v>28</v>
      </c>
      <c r="S2" s="7" t="s">
        <v>29</v>
      </c>
      <c r="T2" s="7" t="s">
        <v>30</v>
      </c>
    </row>
    <row r="3" spans="1:22" s="4" customFormat="1" ht="68" customHeight="1" x14ac:dyDescent="0.2">
      <c r="A3" s="3" t="s">
        <v>31</v>
      </c>
      <c r="B3" s="3" t="s">
        <v>32</v>
      </c>
      <c r="C3" s="4" t="s">
        <v>33</v>
      </c>
      <c r="D3" s="4" t="s">
        <v>34</v>
      </c>
      <c r="E3" s="4" t="str">
        <f>"LBS-LE-7730245060"</f>
        <v>LBS-LE-7730245060</v>
      </c>
      <c r="F3" s="5">
        <v>46132</v>
      </c>
      <c r="H3" s="4" t="s">
        <v>26</v>
      </c>
      <c r="M3" s="6">
        <v>46132.752881944441</v>
      </c>
      <c r="N3" s="4" t="s">
        <v>27</v>
      </c>
      <c r="P3" s="6">
        <v>46132.752881944441</v>
      </c>
      <c r="Q3" s="4" t="s">
        <v>28</v>
      </c>
      <c r="S3" s="7" t="s">
        <v>29</v>
      </c>
      <c r="T3" s="7" t="s">
        <v>35</v>
      </c>
    </row>
    <row r="4" spans="1:22" s="4" customFormat="1" ht="68" customHeight="1" x14ac:dyDescent="0.2">
      <c r="A4" s="3" t="s">
        <v>36</v>
      </c>
      <c r="B4" s="3" t="s">
        <v>37</v>
      </c>
      <c r="C4" s="4" t="s">
        <v>38</v>
      </c>
      <c r="D4" s="4" t="s">
        <v>39</v>
      </c>
      <c r="E4" s="4" t="str">
        <f>"LBO-LE-9705124940"</f>
        <v>LBO-LE-9705124940</v>
      </c>
      <c r="F4" s="5">
        <v>46133</v>
      </c>
      <c r="H4" s="4" t="s">
        <v>26</v>
      </c>
      <c r="M4" s="6">
        <v>46133.752118055563</v>
      </c>
      <c r="N4" s="4" t="s">
        <v>27</v>
      </c>
      <c r="P4" s="6">
        <v>46133.752118055563</v>
      </c>
      <c r="Q4" s="4" t="s">
        <v>28</v>
      </c>
      <c r="S4" s="7" t="s">
        <v>29</v>
      </c>
      <c r="T4" s="7" t="s">
        <v>40</v>
      </c>
      <c r="V4" s="4" t="s">
        <v>41</v>
      </c>
    </row>
    <row r="5" spans="1:22" s="4" customFormat="1" ht="68" customHeight="1" x14ac:dyDescent="0.2">
      <c r="A5" s="3" t="s">
        <v>42</v>
      </c>
      <c r="B5" s="3" t="s">
        <v>43</v>
      </c>
      <c r="C5" s="4" t="s">
        <v>44</v>
      </c>
      <c r="D5" s="4" t="s">
        <v>45</v>
      </c>
      <c r="E5" s="4" t="str">
        <f>"LBO-LE-7730335860"</f>
        <v>LBO-LE-7730335860</v>
      </c>
      <c r="F5" s="5">
        <v>46133</v>
      </c>
      <c r="H5" s="4" t="s">
        <v>26</v>
      </c>
      <c r="M5" s="6">
        <v>46133.752118055563</v>
      </c>
      <c r="N5" s="4" t="s">
        <v>27</v>
      </c>
      <c r="P5" s="6">
        <v>46133.752118055563</v>
      </c>
      <c r="Q5" s="4" t="s">
        <v>28</v>
      </c>
      <c r="S5" s="7" t="s">
        <v>29</v>
      </c>
      <c r="T5" s="7" t="s">
        <v>46</v>
      </c>
      <c r="V5" s="4" t="s">
        <v>47</v>
      </c>
    </row>
    <row r="6" spans="1:22" s="4" customFormat="1" ht="68" customHeight="1" x14ac:dyDescent="0.2">
      <c r="A6" s="3" t="s">
        <v>48</v>
      </c>
      <c r="B6" s="3" t="s">
        <v>49</v>
      </c>
      <c r="C6" s="4" t="s">
        <v>50</v>
      </c>
      <c r="D6" s="4" t="s">
        <v>51</v>
      </c>
      <c r="E6" s="4" t="str">
        <f>"LBO-LE-7714843760"</f>
        <v>LBO-LE-7714843760</v>
      </c>
      <c r="F6" s="5">
        <v>46133</v>
      </c>
      <c r="H6" s="4" t="s">
        <v>26</v>
      </c>
      <c r="M6" s="6">
        <v>46133.752118055563</v>
      </c>
      <c r="N6" s="4" t="s">
        <v>27</v>
      </c>
      <c r="P6" s="6">
        <v>46133.752118055563</v>
      </c>
      <c r="Q6" s="4" t="s">
        <v>28</v>
      </c>
      <c r="S6" s="7" t="s">
        <v>29</v>
      </c>
      <c r="T6" s="7" t="s">
        <v>52</v>
      </c>
      <c r="V6" s="4" t="s">
        <v>53</v>
      </c>
    </row>
    <row r="7" spans="1:22" s="4" customFormat="1" ht="68" customHeight="1" x14ac:dyDescent="0.2">
      <c r="A7" s="3" t="s">
        <v>54</v>
      </c>
      <c r="B7" s="3" t="s">
        <v>23</v>
      </c>
      <c r="C7" s="4" t="s">
        <v>55</v>
      </c>
      <c r="D7" s="4" t="s">
        <v>56</v>
      </c>
      <c r="E7" s="4" t="str">
        <f>"LBO-LE-7743001840"</f>
        <v>LBO-LE-7743001840</v>
      </c>
      <c r="F7" s="5">
        <v>46133</v>
      </c>
      <c r="H7" s="4" t="s">
        <v>26</v>
      </c>
      <c r="M7" s="6">
        <v>46133.752118055563</v>
      </c>
      <c r="N7" s="4" t="s">
        <v>27</v>
      </c>
      <c r="P7" s="6">
        <v>46133.752118055563</v>
      </c>
      <c r="Q7" s="4" t="s">
        <v>28</v>
      </c>
      <c r="S7" s="7" t="s">
        <v>29</v>
      </c>
      <c r="T7" s="7" t="s">
        <v>57</v>
      </c>
      <c r="V7" s="4" t="s">
        <v>58</v>
      </c>
    </row>
    <row r="8" spans="1:22" s="4" customFormat="1" ht="68" customHeight="1" x14ac:dyDescent="0.2">
      <c r="A8" s="3" t="s">
        <v>59</v>
      </c>
      <c r="B8" s="3" t="s">
        <v>60</v>
      </c>
      <c r="C8" s="4" t="s">
        <v>61</v>
      </c>
      <c r="D8" s="4" t="s">
        <v>62</v>
      </c>
      <c r="E8" s="4" t="str">
        <f>"LBO-LE-9731053950"</f>
        <v>LBO-LE-9731053950</v>
      </c>
      <c r="F8" s="5">
        <v>46133</v>
      </c>
      <c r="H8" s="4" t="s">
        <v>26</v>
      </c>
      <c r="M8" s="6">
        <v>46133.752118055563</v>
      </c>
      <c r="N8" s="4" t="s">
        <v>27</v>
      </c>
      <c r="P8" s="6">
        <v>46133.752118055563</v>
      </c>
      <c r="Q8" s="4" t="s">
        <v>28</v>
      </c>
      <c r="S8" s="7" t="s">
        <v>29</v>
      </c>
      <c r="T8" s="7" t="s">
        <v>63</v>
      </c>
      <c r="V8" s="4" t="s">
        <v>64</v>
      </c>
    </row>
    <row r="9" spans="1:22" s="4" customFormat="1" ht="68" customHeight="1" x14ac:dyDescent="0.2">
      <c r="A9" s="3" t="s">
        <v>65</v>
      </c>
      <c r="B9" s="3" t="s">
        <v>66</v>
      </c>
      <c r="C9" s="4" t="s">
        <v>67</v>
      </c>
      <c r="D9" s="4" t="s">
        <v>68</v>
      </c>
      <c r="E9" s="4" t="str">
        <f>"LBO-LE-7714700709"</f>
        <v>LBO-LE-7714700709</v>
      </c>
      <c r="F9" s="5">
        <v>46133</v>
      </c>
      <c r="H9" s="4" t="s">
        <v>26</v>
      </c>
      <c r="M9" s="6">
        <v>46133.752118055563</v>
      </c>
      <c r="N9" s="4" t="s">
        <v>27</v>
      </c>
      <c r="P9" s="6">
        <v>46133.752118055563</v>
      </c>
      <c r="Q9" s="4" t="s">
        <v>28</v>
      </c>
      <c r="S9" s="7" t="s">
        <v>29</v>
      </c>
      <c r="T9" s="7" t="s">
        <v>69</v>
      </c>
      <c r="V9" s="4" t="s">
        <v>70</v>
      </c>
    </row>
    <row r="10" spans="1:22" s="4" customFormat="1" ht="68" customHeight="1" x14ac:dyDescent="0.2">
      <c r="A10" s="3" t="s">
        <v>71</v>
      </c>
      <c r="B10" s="3" t="s">
        <v>72</v>
      </c>
      <c r="C10" s="4" t="s">
        <v>73</v>
      </c>
      <c r="D10" s="4" t="s">
        <v>74</v>
      </c>
      <c r="E10" s="4" t="str">
        <f>"LBO-LE-7707009586"</f>
        <v>LBO-LE-7707009586</v>
      </c>
      <c r="F10" s="5">
        <v>46133</v>
      </c>
      <c r="H10" s="4" t="s">
        <v>26</v>
      </c>
      <c r="M10" s="6">
        <v>46133.752118055563</v>
      </c>
      <c r="N10" s="4" t="s">
        <v>27</v>
      </c>
      <c r="P10" s="6">
        <v>46133.752118055563</v>
      </c>
      <c r="Q10" s="4" t="s">
        <v>28</v>
      </c>
      <c r="S10" s="7" t="s">
        <v>29</v>
      </c>
      <c r="T10" s="7" t="s">
        <v>75</v>
      </c>
      <c r="V10" s="4" t="s">
        <v>76</v>
      </c>
    </row>
    <row r="11" spans="1:22" s="4" customFormat="1" ht="68" customHeight="1" x14ac:dyDescent="0.2">
      <c r="A11" s="3" t="s">
        <v>77</v>
      </c>
      <c r="B11" s="3" t="s">
        <v>78</v>
      </c>
      <c r="C11" s="4" t="s">
        <v>79</v>
      </c>
      <c r="D11" s="4" t="s">
        <v>80</v>
      </c>
      <c r="E11" s="4" t="str">
        <f>"LBO-LE-6165125468"</f>
        <v>LBO-LE-6165125468</v>
      </c>
      <c r="F11" s="5">
        <v>46133</v>
      </c>
      <c r="H11" s="4" t="s">
        <v>26</v>
      </c>
      <c r="M11" s="6">
        <v>46133.752118055563</v>
      </c>
      <c r="N11" s="4" t="s">
        <v>27</v>
      </c>
      <c r="P11" s="6">
        <v>46133.752118055563</v>
      </c>
      <c r="Q11" s="4" t="s">
        <v>28</v>
      </c>
      <c r="S11" s="7" t="s">
        <v>29</v>
      </c>
      <c r="T11" s="7" t="s">
        <v>81</v>
      </c>
      <c r="V11" s="4" t="s">
        <v>82</v>
      </c>
    </row>
    <row r="12" spans="1:22" s="4" customFormat="1" ht="68" customHeight="1" x14ac:dyDescent="0.2">
      <c r="A12" s="3" t="s">
        <v>83</v>
      </c>
      <c r="B12" s="3" t="s">
        <v>84</v>
      </c>
      <c r="C12" s="4" t="s">
        <v>85</v>
      </c>
      <c r="D12" s="4" t="s">
        <v>86</v>
      </c>
      <c r="E12" s="4" t="str">
        <f>"LBO-LE-7704386240"</f>
        <v>LBO-LE-7704386240</v>
      </c>
      <c r="F12" s="5">
        <v>46133</v>
      </c>
      <c r="H12" s="4" t="s">
        <v>26</v>
      </c>
      <c r="M12" s="6">
        <v>46133.752118055563</v>
      </c>
      <c r="N12" s="4" t="s">
        <v>27</v>
      </c>
      <c r="P12" s="6">
        <v>46133.752118055563</v>
      </c>
      <c r="Q12" s="4" t="s">
        <v>28</v>
      </c>
      <c r="S12" s="7" t="s">
        <v>29</v>
      </c>
      <c r="T12" s="7" t="s">
        <v>87</v>
      </c>
      <c r="V12" s="4" t="s">
        <v>88</v>
      </c>
    </row>
    <row r="13" spans="1:22" s="4" customFormat="1" ht="68" customHeight="1" x14ac:dyDescent="0.2">
      <c r="A13" s="3" t="s">
        <v>89</v>
      </c>
      <c r="B13" s="3" t="s">
        <v>90</v>
      </c>
      <c r="C13" s="4" t="s">
        <v>91</v>
      </c>
      <c r="D13" s="4" t="s">
        <v>92</v>
      </c>
      <c r="E13" s="4" t="str">
        <f>"LBO-LE-7714037217"</f>
        <v>LBO-LE-7714037217</v>
      </c>
      <c r="F13" s="5">
        <v>46133</v>
      </c>
      <c r="H13" s="4" t="s">
        <v>26</v>
      </c>
      <c r="M13" s="6">
        <v>46133.752118055563</v>
      </c>
      <c r="N13" s="4" t="s">
        <v>27</v>
      </c>
      <c r="P13" s="6">
        <v>46133.752118055563</v>
      </c>
      <c r="Q13" s="4" t="s">
        <v>28</v>
      </c>
      <c r="S13" s="7" t="s">
        <v>29</v>
      </c>
      <c r="T13" s="7" t="s">
        <v>93</v>
      </c>
      <c r="V13" s="4" t="s">
        <v>94</v>
      </c>
    </row>
    <row r="14" spans="1:22" s="4" customFormat="1" ht="68" customHeight="1" x14ac:dyDescent="0.2">
      <c r="A14" s="3" t="s">
        <v>95</v>
      </c>
      <c r="B14" s="3" t="s">
        <v>23</v>
      </c>
      <c r="C14" s="4" t="s">
        <v>96</v>
      </c>
      <c r="D14" s="4" t="s">
        <v>97</v>
      </c>
      <c r="E14" s="4" t="str">
        <f>"LBO-LE-5405276278"</f>
        <v>LBO-LE-5405276278</v>
      </c>
      <c r="F14" s="5">
        <v>46133</v>
      </c>
      <c r="H14" s="4" t="s">
        <v>26</v>
      </c>
      <c r="M14" s="6">
        <v>46133.752118055563</v>
      </c>
      <c r="N14" s="4" t="s">
        <v>27</v>
      </c>
      <c r="P14" s="6">
        <v>46133.752118055563</v>
      </c>
      <c r="Q14" s="4" t="s">
        <v>28</v>
      </c>
      <c r="S14" s="7" t="s">
        <v>29</v>
      </c>
      <c r="T14" s="7" t="s">
        <v>98</v>
      </c>
      <c r="V14" s="4" t="s">
        <v>99</v>
      </c>
    </row>
    <row r="15" spans="1:22" s="4" customFormat="1" ht="68" customHeight="1" x14ac:dyDescent="0.2">
      <c r="A15" s="3" t="s">
        <v>100</v>
      </c>
      <c r="B15" s="3" t="s">
        <v>23</v>
      </c>
      <c r="C15" s="4" t="s">
        <v>101</v>
      </c>
      <c r="D15" s="4" t="s">
        <v>102</v>
      </c>
      <c r="E15" s="4" t="str">
        <f>"LBO-LE-7736264044"</f>
        <v>LBO-LE-7736264044</v>
      </c>
      <c r="F15" s="5">
        <v>46133</v>
      </c>
      <c r="H15" s="4" t="s">
        <v>26</v>
      </c>
      <c r="M15" s="6">
        <v>46133.752118055563</v>
      </c>
      <c r="N15" s="4" t="s">
        <v>27</v>
      </c>
      <c r="P15" s="6">
        <v>46133.752118055563</v>
      </c>
      <c r="Q15" s="4" t="s">
        <v>28</v>
      </c>
      <c r="S15" s="7" t="s">
        <v>29</v>
      </c>
      <c r="T15" s="7" t="s">
        <v>103</v>
      </c>
      <c r="V15" s="4" t="s">
        <v>104</v>
      </c>
    </row>
    <row r="16" spans="1:22" s="4" customFormat="1" ht="68" customHeight="1" x14ac:dyDescent="0.2">
      <c r="A16" s="3" t="s">
        <v>105</v>
      </c>
      <c r="B16" s="3" t="s">
        <v>32</v>
      </c>
      <c r="C16" s="4" t="s">
        <v>106</v>
      </c>
      <c r="D16" s="4" t="s">
        <v>107</v>
      </c>
      <c r="E16" s="4" t="str">
        <f>"LBO-LE-7736303529"</f>
        <v>LBO-LE-7736303529</v>
      </c>
      <c r="F16" s="5">
        <v>46133</v>
      </c>
      <c r="H16" s="4" t="s">
        <v>26</v>
      </c>
      <c r="M16" s="6">
        <v>46133.752118055563</v>
      </c>
      <c r="N16" s="4" t="s">
        <v>27</v>
      </c>
      <c r="P16" s="6">
        <v>46133.752118055563</v>
      </c>
      <c r="Q16" s="4" t="s">
        <v>28</v>
      </c>
      <c r="S16" s="7" t="s">
        <v>29</v>
      </c>
      <c r="T16" s="7" t="s">
        <v>108</v>
      </c>
      <c r="V16" s="4" t="s">
        <v>109</v>
      </c>
    </row>
    <row r="17" spans="1:22" s="4" customFormat="1" ht="68" customHeight="1" x14ac:dyDescent="0.2">
      <c r="A17" s="3" t="s">
        <v>110</v>
      </c>
      <c r="B17" s="3" t="s">
        <v>111</v>
      </c>
      <c r="C17" s="4" t="s">
        <v>112</v>
      </c>
      <c r="D17" s="4" t="s">
        <v>113</v>
      </c>
      <c r="E17" s="4" t="str">
        <f>"LBO-LE-6674330951"</f>
        <v>LBO-LE-6674330951</v>
      </c>
      <c r="F17" s="5">
        <v>46133</v>
      </c>
      <c r="H17" s="4" t="s">
        <v>26</v>
      </c>
      <c r="M17" s="6">
        <v>46133.752118055563</v>
      </c>
      <c r="N17" s="4" t="s">
        <v>27</v>
      </c>
      <c r="P17" s="6">
        <v>46133.752118055563</v>
      </c>
      <c r="Q17" s="4" t="s">
        <v>28</v>
      </c>
      <c r="S17" s="7" t="s">
        <v>29</v>
      </c>
      <c r="T17" s="7" t="s">
        <v>114</v>
      </c>
      <c r="V17" s="4" t="s">
        <v>115</v>
      </c>
    </row>
    <row r="18" spans="1:22" s="4" customFormat="1" ht="68" customHeight="1" x14ac:dyDescent="0.2">
      <c r="A18" s="3" t="s">
        <v>116</v>
      </c>
      <c r="B18" s="3" t="s">
        <v>32</v>
      </c>
      <c r="C18" s="4" t="s">
        <v>117</v>
      </c>
      <c r="D18" s="4" t="s">
        <v>118</v>
      </c>
      <c r="E18" s="4" t="str">
        <f>"LBO-LE-7730262964"</f>
        <v>LBO-LE-7730262964</v>
      </c>
      <c r="F18" s="5">
        <v>46133</v>
      </c>
      <c r="H18" s="4" t="s">
        <v>26</v>
      </c>
      <c r="M18" s="6">
        <v>46133.752118055563</v>
      </c>
      <c r="N18" s="4" t="s">
        <v>27</v>
      </c>
      <c r="P18" s="6">
        <v>46133.752118055563</v>
      </c>
      <c r="Q18" s="4" t="s">
        <v>28</v>
      </c>
      <c r="S18" s="7" t="s">
        <v>29</v>
      </c>
      <c r="T18" s="7" t="s">
        <v>119</v>
      </c>
      <c r="V18" s="4" t="s">
        <v>120</v>
      </c>
    </row>
    <row r="19" spans="1:22" s="4" customFormat="1" ht="68" customHeight="1" x14ac:dyDescent="0.2">
      <c r="A19" s="3" t="s">
        <v>121</v>
      </c>
      <c r="B19" s="3" t="s">
        <v>122</v>
      </c>
      <c r="C19" s="4" t="s">
        <v>123</v>
      </c>
      <c r="D19" s="4" t="s">
        <v>124</v>
      </c>
      <c r="E19" s="4" t="str">
        <f>"LBO-LE-7705664765"</f>
        <v>LBO-LE-7705664765</v>
      </c>
      <c r="F19" s="5">
        <v>46133</v>
      </c>
      <c r="H19" s="4" t="s">
        <v>26</v>
      </c>
      <c r="M19" s="6">
        <v>46133.752118055563</v>
      </c>
      <c r="N19" s="4" t="s">
        <v>27</v>
      </c>
      <c r="P19" s="6">
        <v>46133.752118055563</v>
      </c>
      <c r="Q19" s="4" t="s">
        <v>28</v>
      </c>
      <c r="S19" s="7" t="s">
        <v>29</v>
      </c>
      <c r="T19" s="7" t="s">
        <v>125</v>
      </c>
      <c r="V19" s="4" t="s">
        <v>126</v>
      </c>
    </row>
    <row r="20" spans="1:22" s="4" customFormat="1" ht="68" customHeight="1" x14ac:dyDescent="0.2">
      <c r="A20" s="3" t="s">
        <v>127</v>
      </c>
      <c r="B20" s="3" t="s">
        <v>49</v>
      </c>
      <c r="C20" s="4" t="s">
        <v>128</v>
      </c>
      <c r="D20" s="4" t="s">
        <v>129</v>
      </c>
      <c r="E20" s="4" t="str">
        <f>"LBO-LE-9710011437"</f>
        <v>LBO-LE-9710011437</v>
      </c>
      <c r="F20" s="5">
        <v>46133</v>
      </c>
      <c r="H20" s="4" t="s">
        <v>26</v>
      </c>
      <c r="M20" s="6">
        <v>46133.752118055563</v>
      </c>
      <c r="N20" s="4" t="s">
        <v>27</v>
      </c>
      <c r="P20" s="6">
        <v>46133.752118055563</v>
      </c>
      <c r="Q20" s="4" t="s">
        <v>28</v>
      </c>
      <c r="S20" s="7" t="s">
        <v>29</v>
      </c>
      <c r="T20" s="7" t="s">
        <v>130</v>
      </c>
      <c r="V20" s="4" t="s">
        <v>131</v>
      </c>
    </row>
    <row r="21" spans="1:22" s="4" customFormat="1" ht="68" customHeight="1" x14ac:dyDescent="0.2">
      <c r="A21" s="3" t="s">
        <v>132</v>
      </c>
      <c r="B21" s="3" t="s">
        <v>60</v>
      </c>
      <c r="C21" s="4" t="s">
        <v>133</v>
      </c>
      <c r="D21" s="4" t="s">
        <v>134</v>
      </c>
      <c r="E21" s="4" t="str">
        <f>"LBO-LE-9706000111"</f>
        <v>LBO-LE-9706000111</v>
      </c>
      <c r="F21" s="5">
        <v>46133</v>
      </c>
      <c r="H21" s="4" t="s">
        <v>26</v>
      </c>
      <c r="M21" s="6">
        <v>46133.752118055563</v>
      </c>
      <c r="N21" s="4" t="s">
        <v>27</v>
      </c>
      <c r="P21" s="6">
        <v>46133.752118055563</v>
      </c>
      <c r="Q21" s="4" t="s">
        <v>28</v>
      </c>
      <c r="S21" s="7" t="s">
        <v>29</v>
      </c>
      <c r="T21" s="7" t="s">
        <v>135</v>
      </c>
      <c r="V21" s="4" t="s">
        <v>136</v>
      </c>
    </row>
    <row r="22" spans="1:22" s="4" customFormat="1" ht="68" customHeight="1" x14ac:dyDescent="0.2">
      <c r="A22" s="3" t="s">
        <v>137</v>
      </c>
      <c r="B22" s="3" t="s">
        <v>138</v>
      </c>
      <c r="C22" s="4" t="s">
        <v>139</v>
      </c>
      <c r="D22" s="4" t="s">
        <v>140</v>
      </c>
      <c r="E22" s="4" t="str">
        <f>"LBO-LE-7710183778"</f>
        <v>LBO-LE-7710183778</v>
      </c>
      <c r="F22" s="5">
        <v>46133</v>
      </c>
      <c r="H22" s="4" t="s">
        <v>26</v>
      </c>
      <c r="M22" s="6">
        <v>46133.752118055563</v>
      </c>
      <c r="N22" s="4" t="s">
        <v>27</v>
      </c>
      <c r="P22" s="6">
        <v>46133.752118055563</v>
      </c>
      <c r="Q22" s="4" t="s">
        <v>28</v>
      </c>
      <c r="S22" s="7" t="s">
        <v>29</v>
      </c>
      <c r="T22" s="7" t="s">
        <v>141</v>
      </c>
      <c r="V22" s="4" t="s">
        <v>142</v>
      </c>
    </row>
    <row r="23" spans="1:22" s="4" customFormat="1" ht="68" customHeight="1" x14ac:dyDescent="0.2">
      <c r="A23" s="3" t="s">
        <v>143</v>
      </c>
      <c r="B23" s="3" t="s">
        <v>32</v>
      </c>
      <c r="C23" s="4" t="s">
        <v>144</v>
      </c>
      <c r="D23" s="4" t="s">
        <v>145</v>
      </c>
      <c r="E23" s="4" t="str">
        <f>"LBO-LE-5024093941"</f>
        <v>LBO-LE-5024093941</v>
      </c>
      <c r="F23" s="5">
        <v>46133</v>
      </c>
      <c r="H23" s="4" t="s">
        <v>26</v>
      </c>
      <c r="M23" s="6">
        <v>46133.752118055563</v>
      </c>
      <c r="N23" s="4" t="s">
        <v>27</v>
      </c>
      <c r="P23" s="6">
        <v>46133.752118055563</v>
      </c>
      <c r="Q23" s="4" t="s">
        <v>28</v>
      </c>
      <c r="S23" s="7" t="s">
        <v>29</v>
      </c>
      <c r="T23" s="7" t="s">
        <v>146</v>
      </c>
      <c r="V23" s="4" t="s">
        <v>147</v>
      </c>
    </row>
    <row r="24" spans="1:22" s="4" customFormat="1" ht="68" customHeight="1" x14ac:dyDescent="0.2">
      <c r="A24" s="3" t="s">
        <v>148</v>
      </c>
      <c r="B24" s="3" t="s">
        <v>149</v>
      </c>
      <c r="C24" s="4" t="s">
        <v>150</v>
      </c>
      <c r="D24" s="4" t="s">
        <v>151</v>
      </c>
      <c r="E24" s="4" t="str">
        <f>"LBO-LE-7701103751"</f>
        <v>LBO-LE-7701103751</v>
      </c>
      <c r="F24" s="5">
        <v>46133</v>
      </c>
      <c r="H24" s="4" t="s">
        <v>26</v>
      </c>
      <c r="M24" s="6">
        <v>46133.752118055563</v>
      </c>
      <c r="N24" s="4" t="s">
        <v>27</v>
      </c>
      <c r="P24" s="6">
        <v>46133.752118055563</v>
      </c>
      <c r="Q24" s="4" t="s">
        <v>28</v>
      </c>
      <c r="S24" s="7" t="s">
        <v>29</v>
      </c>
      <c r="T24" s="7" t="s">
        <v>152</v>
      </c>
      <c r="V24" s="4" t="s">
        <v>153</v>
      </c>
    </row>
    <row r="25" spans="1:22" s="4" customFormat="1" ht="68" customHeight="1" x14ac:dyDescent="0.2">
      <c r="A25" s="3" t="s">
        <v>154</v>
      </c>
      <c r="B25" s="3" t="s">
        <v>49</v>
      </c>
      <c r="C25" s="4" t="s">
        <v>155</v>
      </c>
      <c r="D25" s="4" t="s">
        <v>156</v>
      </c>
      <c r="E25" s="4" t="str">
        <f>"LBO-LE-9710135746"</f>
        <v>LBO-LE-9710135746</v>
      </c>
      <c r="F25" s="5">
        <v>46133</v>
      </c>
      <c r="H25" s="4" t="s">
        <v>26</v>
      </c>
      <c r="M25" s="6">
        <v>46133.752210648148</v>
      </c>
      <c r="N25" s="4" t="s">
        <v>27</v>
      </c>
      <c r="P25" s="6">
        <v>46133.752210648148</v>
      </c>
      <c r="Q25" s="4" t="s">
        <v>28</v>
      </c>
      <c r="S25" s="7" t="s">
        <v>29</v>
      </c>
      <c r="T25" s="7" t="s">
        <v>157</v>
      </c>
      <c r="V25" s="4" t="s">
        <v>158</v>
      </c>
    </row>
    <row r="26" spans="1:22" s="4" customFormat="1" ht="68" customHeight="1" x14ac:dyDescent="0.2">
      <c r="A26" s="3" t="s">
        <v>159</v>
      </c>
      <c r="B26" s="3" t="s">
        <v>23</v>
      </c>
      <c r="C26" s="4" t="s">
        <v>160</v>
      </c>
      <c r="D26" s="4" t="s">
        <v>161</v>
      </c>
      <c r="E26" s="4" t="str">
        <f>"LBO-LE-7736279160"</f>
        <v>LBO-LE-7736279160</v>
      </c>
      <c r="F26" s="5">
        <v>46133</v>
      </c>
      <c r="H26" s="4" t="s">
        <v>26</v>
      </c>
      <c r="N26" s="4" t="s">
        <v>162</v>
      </c>
      <c r="P26" s="6">
        <v>46133.753275462957</v>
      </c>
      <c r="Q26" s="4" t="s">
        <v>28</v>
      </c>
      <c r="R26" s="4" t="s">
        <v>163</v>
      </c>
      <c r="S26" s="7" t="s">
        <v>29</v>
      </c>
      <c r="T26" s="7" t="s">
        <v>164</v>
      </c>
    </row>
    <row r="27" spans="1:22" s="4" customFormat="1" ht="68" customHeight="1" x14ac:dyDescent="0.2">
      <c r="A27" s="3" t="s">
        <v>165</v>
      </c>
      <c r="B27" s="3" t="s">
        <v>37</v>
      </c>
      <c r="C27" s="4" t="s">
        <v>166</v>
      </c>
      <c r="D27" s="4" t="s">
        <v>167</v>
      </c>
      <c r="E27" s="4" t="str">
        <f>"LBO-LE-7736128605"</f>
        <v>LBO-LE-7736128605</v>
      </c>
      <c r="F27" s="5">
        <v>46133</v>
      </c>
      <c r="H27" s="4" t="s">
        <v>26</v>
      </c>
      <c r="N27" s="4" t="s">
        <v>162</v>
      </c>
      <c r="P27" s="6">
        <v>46133.75439814815</v>
      </c>
      <c r="Q27" s="4" t="s">
        <v>28</v>
      </c>
      <c r="R27" s="4" t="s">
        <v>163</v>
      </c>
      <c r="S27" s="7" t="s">
        <v>29</v>
      </c>
      <c r="T27" s="7" t="s">
        <v>168</v>
      </c>
    </row>
    <row r="28" spans="1:22" s="4" customFormat="1" ht="68" customHeight="1" x14ac:dyDescent="0.2">
      <c r="A28" s="3" t="s">
        <v>165</v>
      </c>
      <c r="B28" s="3" t="s">
        <v>37</v>
      </c>
      <c r="C28" s="4" t="s">
        <v>166</v>
      </c>
      <c r="D28" s="4" t="s">
        <v>167</v>
      </c>
      <c r="E28" s="4" t="str">
        <f>"LBO-LE-7736128605"</f>
        <v>LBO-LE-7736128605</v>
      </c>
      <c r="F28" s="5">
        <v>46133</v>
      </c>
      <c r="H28" s="4" t="s">
        <v>26</v>
      </c>
      <c r="N28" s="4" t="s">
        <v>162</v>
      </c>
      <c r="P28" s="6">
        <v>46133.755532407413</v>
      </c>
      <c r="Q28" s="4" t="s">
        <v>28</v>
      </c>
      <c r="R28" s="4" t="s">
        <v>163</v>
      </c>
      <c r="S28" s="7" t="s">
        <v>29</v>
      </c>
      <c r="T28" s="7" t="s">
        <v>169</v>
      </c>
    </row>
    <row r="29" spans="1:22" s="4" customFormat="1" ht="68" customHeight="1" x14ac:dyDescent="0.2">
      <c r="A29" s="3" t="s">
        <v>165</v>
      </c>
      <c r="B29" s="3" t="s">
        <v>37</v>
      </c>
      <c r="C29" s="4" t="s">
        <v>166</v>
      </c>
      <c r="D29" s="4" t="s">
        <v>167</v>
      </c>
      <c r="E29" s="4" t="str">
        <f>"LBO-LE-7736128605"</f>
        <v>LBO-LE-7736128605</v>
      </c>
      <c r="F29" s="5">
        <v>46133</v>
      </c>
      <c r="H29" s="4" t="s">
        <v>26</v>
      </c>
      <c r="N29" s="4" t="s">
        <v>162</v>
      </c>
      <c r="P29" s="6">
        <v>46133.75675925926</v>
      </c>
      <c r="Q29" s="4" t="s">
        <v>28</v>
      </c>
      <c r="R29" s="4" t="s">
        <v>163</v>
      </c>
      <c r="S29" s="7" t="s">
        <v>29</v>
      </c>
      <c r="T29" s="7" t="s">
        <v>170</v>
      </c>
    </row>
    <row r="30" spans="1:22" s="4" customFormat="1" ht="68" customHeight="1" x14ac:dyDescent="0.2">
      <c r="A30" s="3" t="s">
        <v>171</v>
      </c>
      <c r="B30" s="3" t="s">
        <v>66</v>
      </c>
      <c r="C30" s="4" t="s">
        <v>172</v>
      </c>
      <c r="D30" s="4" t="s">
        <v>173</v>
      </c>
      <c r="E30" s="4" t="str">
        <f>"LBO-LE-7702019950"</f>
        <v>LBO-LE-7702019950</v>
      </c>
      <c r="F30" s="5">
        <v>46133</v>
      </c>
      <c r="H30" s="4" t="s">
        <v>26</v>
      </c>
      <c r="N30" s="4" t="s">
        <v>162</v>
      </c>
      <c r="P30" s="6">
        <v>46133.757870370369</v>
      </c>
      <c r="Q30" s="4" t="s">
        <v>28</v>
      </c>
      <c r="R30" s="4" t="s">
        <v>163</v>
      </c>
      <c r="S30" s="7" t="s">
        <v>29</v>
      </c>
      <c r="T30" s="7" t="s">
        <v>174</v>
      </c>
    </row>
    <row r="31" spans="1:22" s="4" customFormat="1" ht="68" customHeight="1" x14ac:dyDescent="0.2">
      <c r="A31" s="3" t="s">
        <v>175</v>
      </c>
      <c r="B31" s="3" t="s">
        <v>176</v>
      </c>
      <c r="C31" s="4" t="s">
        <v>177</v>
      </c>
      <c r="D31" s="4" t="s">
        <v>178</v>
      </c>
      <c r="E31" s="4" t="str">
        <f>"LBO-LE-7704017596"</f>
        <v>LBO-LE-7704017596</v>
      </c>
      <c r="F31" s="5">
        <v>46133</v>
      </c>
      <c r="H31" s="4" t="s">
        <v>26</v>
      </c>
      <c r="N31" s="4" t="s">
        <v>162</v>
      </c>
      <c r="P31" s="6">
        <v>46133.759016203701</v>
      </c>
      <c r="Q31" s="4" t="s">
        <v>28</v>
      </c>
      <c r="R31" s="4" t="s">
        <v>163</v>
      </c>
      <c r="S31" s="7" t="s">
        <v>29</v>
      </c>
      <c r="T31" s="7" t="s">
        <v>179</v>
      </c>
    </row>
    <row r="32" spans="1:22" s="4" customFormat="1" ht="68" customHeight="1" x14ac:dyDescent="0.2">
      <c r="A32" s="3" t="s">
        <v>180</v>
      </c>
      <c r="B32" s="3" t="s">
        <v>181</v>
      </c>
      <c r="C32" s="4" t="s">
        <v>182</v>
      </c>
      <c r="D32" s="4" t="s">
        <v>183</v>
      </c>
      <c r="E32" s="4" t="str">
        <f>"LBO-LE-9715347247"</f>
        <v>LBO-LE-9715347247</v>
      </c>
      <c r="F32" s="5">
        <v>46133</v>
      </c>
      <c r="H32" s="4" t="s">
        <v>26</v>
      </c>
      <c r="N32" s="4" t="s">
        <v>162</v>
      </c>
      <c r="P32" s="6">
        <v>46133.76017361111</v>
      </c>
      <c r="Q32" s="4" t="s">
        <v>28</v>
      </c>
      <c r="R32" s="4" t="s">
        <v>163</v>
      </c>
      <c r="S32" s="7" t="s">
        <v>29</v>
      </c>
      <c r="T32" s="7" t="s">
        <v>184</v>
      </c>
    </row>
    <row r="33" spans="1:20" s="4" customFormat="1" ht="68" customHeight="1" x14ac:dyDescent="0.2">
      <c r="A33" s="3" t="s">
        <v>185</v>
      </c>
      <c r="B33" s="3" t="s">
        <v>122</v>
      </c>
      <c r="C33" s="4" t="s">
        <v>186</v>
      </c>
      <c r="D33" s="4" t="s">
        <v>187</v>
      </c>
      <c r="E33" s="4" t="str">
        <f>"LBO-LE-7715995942"</f>
        <v>LBO-LE-7715995942</v>
      </c>
      <c r="F33" s="5">
        <v>46133</v>
      </c>
      <c r="H33" s="4" t="s">
        <v>26</v>
      </c>
      <c r="N33" s="4" t="s">
        <v>162</v>
      </c>
      <c r="P33" s="6">
        <v>46133.761331018519</v>
      </c>
      <c r="Q33" s="4" t="s">
        <v>28</v>
      </c>
      <c r="R33" s="4" t="s">
        <v>163</v>
      </c>
      <c r="S33" s="7" t="s">
        <v>29</v>
      </c>
      <c r="T33" s="7" t="s">
        <v>188</v>
      </c>
    </row>
    <row r="34" spans="1:20" s="4" customFormat="1" ht="68" customHeight="1" x14ac:dyDescent="0.2">
      <c r="A34" s="3" t="s">
        <v>189</v>
      </c>
      <c r="B34" s="3" t="s">
        <v>32</v>
      </c>
      <c r="C34" s="4" t="s">
        <v>190</v>
      </c>
      <c r="D34" s="4" t="s">
        <v>191</v>
      </c>
      <c r="E34" s="4" t="str">
        <f>"LBO-LE-7730269550"</f>
        <v>LBO-LE-7730269550</v>
      </c>
      <c r="F34" s="5">
        <v>46133</v>
      </c>
      <c r="H34" s="4" t="s">
        <v>26</v>
      </c>
      <c r="N34" s="4" t="s">
        <v>192</v>
      </c>
      <c r="P34" s="6">
        <v>46133.764849537038</v>
      </c>
      <c r="Q34" s="4" t="s">
        <v>28</v>
      </c>
      <c r="S34" s="7" t="s">
        <v>29</v>
      </c>
      <c r="T34" s="7" t="s">
        <v>193</v>
      </c>
    </row>
    <row r="35" spans="1:20" s="4" customFormat="1" ht="68" customHeight="1" x14ac:dyDescent="0.2">
      <c r="A35" s="3" t="s">
        <v>194</v>
      </c>
      <c r="B35" s="3" t="s">
        <v>23</v>
      </c>
      <c r="C35" s="4" t="s">
        <v>195</v>
      </c>
      <c r="D35" s="4" t="s">
        <v>196</v>
      </c>
      <c r="E35" s="4" t="str">
        <f>"LBO-LE-7805093681"</f>
        <v>LBO-LE-7805093681</v>
      </c>
      <c r="F35" s="5">
        <v>46133</v>
      </c>
      <c r="H35" s="4" t="s">
        <v>26</v>
      </c>
      <c r="N35" s="4" t="s">
        <v>162</v>
      </c>
      <c r="P35" s="6">
        <v>46133.766041666669</v>
      </c>
      <c r="Q35" s="4" t="s">
        <v>28</v>
      </c>
      <c r="R35" s="4" t="s">
        <v>163</v>
      </c>
      <c r="S35" s="7" t="s">
        <v>29</v>
      </c>
      <c r="T35" s="7" t="s">
        <v>197</v>
      </c>
    </row>
    <row r="36" spans="1:20" s="4" customFormat="1" ht="68" customHeight="1" x14ac:dyDescent="0.2">
      <c r="A36" s="3" t="s">
        <v>198</v>
      </c>
      <c r="B36" s="3" t="s">
        <v>60</v>
      </c>
      <c r="C36" s="4" t="s">
        <v>199</v>
      </c>
      <c r="D36" s="4" t="s">
        <v>200</v>
      </c>
      <c r="E36" s="4" t="str">
        <f>"LBO-LE-7725745476"</f>
        <v>LBO-LE-7725745476</v>
      </c>
      <c r="F36" s="5">
        <v>46133</v>
      </c>
      <c r="H36" s="4" t="s">
        <v>26</v>
      </c>
      <c r="N36" s="4" t="s">
        <v>162</v>
      </c>
      <c r="P36" s="6">
        <v>46133.767164351862</v>
      </c>
      <c r="Q36" s="4" t="s">
        <v>28</v>
      </c>
      <c r="R36" s="4" t="s">
        <v>163</v>
      </c>
      <c r="S36" s="7" t="s">
        <v>29</v>
      </c>
      <c r="T36" s="7" t="s">
        <v>201</v>
      </c>
    </row>
    <row r="37" spans="1:20" s="4" customFormat="1" ht="68" customHeight="1" x14ac:dyDescent="0.2">
      <c r="A37" s="3" t="s">
        <v>202</v>
      </c>
      <c r="B37" s="3" t="s">
        <v>203</v>
      </c>
      <c r="C37" s="4" t="s">
        <v>204</v>
      </c>
      <c r="D37" s="4" t="s">
        <v>205</v>
      </c>
      <c r="E37" s="4" t="str">
        <f>"LBO-LE-7702596813"</f>
        <v>LBO-LE-7702596813</v>
      </c>
      <c r="F37" s="5">
        <v>46133</v>
      </c>
      <c r="H37" s="4" t="s">
        <v>26</v>
      </c>
      <c r="N37" s="4" t="s">
        <v>162</v>
      </c>
      <c r="P37" s="6">
        <v>46133.76829861111</v>
      </c>
      <c r="Q37" s="4" t="s">
        <v>28</v>
      </c>
      <c r="R37" s="4" t="s">
        <v>163</v>
      </c>
      <c r="S37" s="7" t="s">
        <v>29</v>
      </c>
      <c r="T37" s="7" t="s">
        <v>206</v>
      </c>
    </row>
    <row r="38" spans="1:20" s="4" customFormat="1" ht="68" customHeight="1" x14ac:dyDescent="0.2">
      <c r="A38" s="3" t="s">
        <v>207</v>
      </c>
      <c r="B38" s="3" t="s">
        <v>208</v>
      </c>
      <c r="C38" s="4" t="s">
        <v>209</v>
      </c>
      <c r="D38" s="4" t="s">
        <v>210</v>
      </c>
      <c r="E38" s="4" t="str">
        <f>"LBO-LE-9705118142"</f>
        <v>LBO-LE-9705118142</v>
      </c>
      <c r="F38" s="5">
        <v>46133</v>
      </c>
      <c r="H38" s="4" t="s">
        <v>26</v>
      </c>
      <c r="N38" s="4" t="s">
        <v>162</v>
      </c>
      <c r="P38" s="6">
        <v>46133.769432870373</v>
      </c>
      <c r="Q38" s="4" t="s">
        <v>28</v>
      </c>
      <c r="R38" s="4" t="s">
        <v>163</v>
      </c>
      <c r="S38" s="7" t="s">
        <v>29</v>
      </c>
      <c r="T38" s="7" t="s">
        <v>211</v>
      </c>
    </row>
    <row r="39" spans="1:20" s="4" customFormat="1" ht="68" customHeight="1" x14ac:dyDescent="0.2">
      <c r="A39" s="3" t="s">
        <v>212</v>
      </c>
      <c r="B39" s="3" t="s">
        <v>37</v>
      </c>
      <c r="C39" s="4" t="s">
        <v>213</v>
      </c>
      <c r="D39" s="4" t="s">
        <v>214</v>
      </c>
      <c r="E39" s="4" t="str">
        <f>"LBO-LE-7736319695"</f>
        <v>LBO-LE-7736319695</v>
      </c>
      <c r="F39" s="5">
        <v>46133</v>
      </c>
      <c r="H39" s="4" t="s">
        <v>26</v>
      </c>
      <c r="N39" s="4" t="s">
        <v>162</v>
      </c>
      <c r="P39" s="6">
        <v>46133.770624999997</v>
      </c>
      <c r="Q39" s="4" t="s">
        <v>28</v>
      </c>
      <c r="R39" s="4" t="s">
        <v>163</v>
      </c>
      <c r="S39" s="7" t="s">
        <v>29</v>
      </c>
      <c r="T39" s="7" t="s">
        <v>215</v>
      </c>
    </row>
    <row r="40" spans="1:20" s="4" customFormat="1" ht="68" customHeight="1" x14ac:dyDescent="0.2">
      <c r="A40" s="3" t="s">
        <v>216</v>
      </c>
      <c r="B40" s="3" t="s">
        <v>217</v>
      </c>
      <c r="C40" s="4" t="s">
        <v>218</v>
      </c>
      <c r="D40" s="4" t="s">
        <v>219</v>
      </c>
      <c r="E40" s="4" t="str">
        <f>"LBO-LE-1835056809"</f>
        <v>LBO-LE-1835056809</v>
      </c>
      <c r="F40" s="5">
        <v>46133</v>
      </c>
      <c r="H40" s="4" t="s">
        <v>26</v>
      </c>
      <c r="N40" s="4" t="s">
        <v>162</v>
      </c>
      <c r="P40" s="6">
        <v>46133.77175925926</v>
      </c>
      <c r="Q40" s="4" t="s">
        <v>28</v>
      </c>
      <c r="R40" s="4" t="s">
        <v>163</v>
      </c>
      <c r="S40" s="7" t="s">
        <v>29</v>
      </c>
      <c r="T40" s="7" t="s">
        <v>220</v>
      </c>
    </row>
    <row r="41" spans="1:20" s="4" customFormat="1" ht="68" customHeight="1" x14ac:dyDescent="0.2">
      <c r="A41" s="3" t="s">
        <v>221</v>
      </c>
      <c r="B41" s="3" t="s">
        <v>222</v>
      </c>
      <c r="C41" s="4" t="s">
        <v>223</v>
      </c>
      <c r="D41" s="4" t="s">
        <v>224</v>
      </c>
      <c r="E41" s="4" t="str">
        <f>"LBO-LE-5047243826"</f>
        <v>LBO-LE-5047243826</v>
      </c>
      <c r="F41" s="5">
        <v>46133</v>
      </c>
      <c r="H41" s="4" t="s">
        <v>26</v>
      </c>
      <c r="N41" s="4" t="s">
        <v>162</v>
      </c>
      <c r="P41" s="6">
        <v>46133.772962962961</v>
      </c>
      <c r="Q41" s="4" t="s">
        <v>28</v>
      </c>
      <c r="R41" s="4" t="s">
        <v>163</v>
      </c>
      <c r="S41" s="7" t="s">
        <v>29</v>
      </c>
      <c r="T41" s="7" t="s">
        <v>225</v>
      </c>
    </row>
    <row r="42" spans="1:20" s="4" customFormat="1" ht="68" customHeight="1" x14ac:dyDescent="0.2">
      <c r="A42" s="3" t="s">
        <v>226</v>
      </c>
      <c r="B42" s="3" t="s">
        <v>227</v>
      </c>
      <c r="C42" s="4" t="s">
        <v>228</v>
      </c>
      <c r="D42" s="4" t="s">
        <v>229</v>
      </c>
      <c r="E42" s="4" t="str">
        <f>"LBO-LE-7203518506"</f>
        <v>LBO-LE-7203518506</v>
      </c>
      <c r="F42" s="5">
        <v>46133</v>
      </c>
      <c r="H42" s="4" t="s">
        <v>26</v>
      </c>
      <c r="N42" s="4" t="s">
        <v>162</v>
      </c>
      <c r="P42" s="6">
        <v>46133.774189814823</v>
      </c>
      <c r="Q42" s="4" t="s">
        <v>28</v>
      </c>
      <c r="R42" s="4" t="s">
        <v>163</v>
      </c>
      <c r="S42" s="7" t="s">
        <v>29</v>
      </c>
      <c r="T42" s="7" t="s">
        <v>230</v>
      </c>
    </row>
    <row r="43" spans="1:20" s="4" customFormat="1" ht="68" customHeight="1" x14ac:dyDescent="0.2">
      <c r="A43" s="3" t="s">
        <v>231</v>
      </c>
      <c r="B43" s="3" t="s">
        <v>60</v>
      </c>
      <c r="C43" s="4" t="s">
        <v>232</v>
      </c>
      <c r="D43" s="4" t="s">
        <v>233</v>
      </c>
      <c r="E43" s="4" t="str">
        <f>"LBO-LE-7703435262"</f>
        <v>LBO-LE-7703435262</v>
      </c>
      <c r="F43" s="5">
        <v>46133</v>
      </c>
      <c r="H43" s="4" t="s">
        <v>26</v>
      </c>
      <c r="N43" s="4" t="s">
        <v>162</v>
      </c>
      <c r="P43" s="6">
        <v>46133.775335648148</v>
      </c>
      <c r="Q43" s="4" t="s">
        <v>28</v>
      </c>
      <c r="R43" s="4" t="s">
        <v>163</v>
      </c>
      <c r="S43" s="7" t="s">
        <v>29</v>
      </c>
      <c r="T43" s="7" t="s">
        <v>234</v>
      </c>
    </row>
    <row r="44" spans="1:20" s="4" customFormat="1" ht="68" customHeight="1" x14ac:dyDescent="0.2">
      <c r="A44" s="3" t="s">
        <v>235</v>
      </c>
      <c r="B44" s="3" t="s">
        <v>236</v>
      </c>
      <c r="C44" s="4" t="s">
        <v>237</v>
      </c>
      <c r="D44" s="4" t="s">
        <v>238</v>
      </c>
      <c r="E44" s="4" t="str">
        <f>"LBO-LE-7736227885"</f>
        <v>LBO-LE-7736227885</v>
      </c>
      <c r="F44" s="5">
        <v>46133</v>
      </c>
      <c r="H44" s="4" t="s">
        <v>26</v>
      </c>
      <c r="N44" s="4" t="s">
        <v>162</v>
      </c>
      <c r="P44" s="6">
        <v>46133.776469907411</v>
      </c>
      <c r="Q44" s="4" t="s">
        <v>28</v>
      </c>
      <c r="R44" s="4" t="s">
        <v>163</v>
      </c>
      <c r="S44" s="7" t="s">
        <v>29</v>
      </c>
      <c r="T44" s="7" t="s">
        <v>239</v>
      </c>
    </row>
    <row r="45" spans="1:20" s="4" customFormat="1" ht="68" customHeight="1" x14ac:dyDescent="0.2">
      <c r="A45" s="3" t="s">
        <v>240</v>
      </c>
      <c r="B45" s="3" t="s">
        <v>241</v>
      </c>
      <c r="C45" s="4" t="s">
        <v>242</v>
      </c>
      <c r="D45" s="4" t="s">
        <v>243</v>
      </c>
      <c r="E45" s="4" t="str">
        <f>"LBO-LE-7709969870"</f>
        <v>LBO-LE-7709969870</v>
      </c>
      <c r="F45" s="5">
        <v>46133</v>
      </c>
      <c r="H45" s="4" t="s">
        <v>26</v>
      </c>
      <c r="N45" s="4" t="s">
        <v>162</v>
      </c>
      <c r="P45" s="6">
        <v>46133.777708333328</v>
      </c>
      <c r="Q45" s="4" t="s">
        <v>28</v>
      </c>
      <c r="R45" s="4" t="s">
        <v>163</v>
      </c>
      <c r="S45" s="7" t="s">
        <v>29</v>
      </c>
      <c r="T45" s="7" t="s">
        <v>244</v>
      </c>
    </row>
    <row r="46" spans="1:20" s="4" customFormat="1" ht="68" customHeight="1" x14ac:dyDescent="0.2">
      <c r="A46" s="3" t="s">
        <v>245</v>
      </c>
      <c r="B46" s="3" t="s">
        <v>246</v>
      </c>
      <c r="C46" s="4" t="s">
        <v>247</v>
      </c>
      <c r="D46" s="4" t="s">
        <v>248</v>
      </c>
      <c r="E46" s="4" t="str">
        <f>"LBO-LE-1615014289"</f>
        <v>LBO-LE-1615014289</v>
      </c>
      <c r="F46" s="5">
        <v>46133</v>
      </c>
      <c r="H46" s="4" t="s">
        <v>26</v>
      </c>
      <c r="N46" s="4" t="s">
        <v>162</v>
      </c>
      <c r="P46" s="6">
        <v>46133.778935185182</v>
      </c>
      <c r="Q46" s="4" t="s">
        <v>28</v>
      </c>
      <c r="R46" s="4" t="s">
        <v>163</v>
      </c>
      <c r="S46" s="7" t="s">
        <v>29</v>
      </c>
      <c r="T46" s="7" t="s">
        <v>249</v>
      </c>
    </row>
    <row r="47" spans="1:20" s="4" customFormat="1" ht="68" customHeight="1" x14ac:dyDescent="0.2">
      <c r="A47" s="3" t="s">
        <v>250</v>
      </c>
      <c r="B47" s="3" t="s">
        <v>251</v>
      </c>
      <c r="C47" s="4" t="s">
        <v>252</v>
      </c>
      <c r="D47" s="4" t="s">
        <v>253</v>
      </c>
      <c r="E47" s="4" t="str">
        <f>"LBO-LE-7839438486"</f>
        <v>LBO-LE-7839438486</v>
      </c>
      <c r="F47" s="5">
        <v>46133</v>
      </c>
      <c r="H47" s="4" t="s">
        <v>26</v>
      </c>
      <c r="N47" s="4" t="s">
        <v>162</v>
      </c>
      <c r="P47" s="6">
        <v>46133.780266203707</v>
      </c>
      <c r="Q47" s="4" t="s">
        <v>28</v>
      </c>
      <c r="R47" s="4" t="s">
        <v>163</v>
      </c>
      <c r="S47" s="7" t="s">
        <v>29</v>
      </c>
      <c r="T47" s="7" t="s">
        <v>254</v>
      </c>
    </row>
    <row r="48" spans="1:20" s="4" customFormat="1" ht="68" customHeight="1" x14ac:dyDescent="0.2">
      <c r="A48" s="3" t="s">
        <v>255</v>
      </c>
      <c r="B48" s="3" t="s">
        <v>256</v>
      </c>
      <c r="C48" s="4" t="s">
        <v>257</v>
      </c>
      <c r="D48" s="4" t="s">
        <v>258</v>
      </c>
      <c r="E48" s="4" t="str">
        <f>"LBO-LE-5408130693"</f>
        <v>LBO-LE-5408130693</v>
      </c>
      <c r="F48" s="5">
        <v>46133</v>
      </c>
      <c r="H48" s="4" t="s">
        <v>26</v>
      </c>
      <c r="N48" s="4" t="s">
        <v>162</v>
      </c>
      <c r="P48" s="6">
        <v>46133.783483796287</v>
      </c>
      <c r="Q48" s="4" t="s">
        <v>28</v>
      </c>
      <c r="R48" s="4" t="s">
        <v>163</v>
      </c>
      <c r="S48" s="7" t="s">
        <v>29</v>
      </c>
      <c r="T48" s="7" t="s">
        <v>259</v>
      </c>
    </row>
    <row r="49" spans="1:20" s="4" customFormat="1" ht="68" customHeight="1" x14ac:dyDescent="0.2">
      <c r="A49" s="3" t="s">
        <v>260</v>
      </c>
      <c r="B49" s="3" t="s">
        <v>261</v>
      </c>
      <c r="C49" s="4" t="s">
        <v>262</v>
      </c>
      <c r="D49" s="4" t="s">
        <v>263</v>
      </c>
      <c r="E49" s="4" t="str">
        <f>"LBO-LE-7811753424"</f>
        <v>LBO-LE-7811753424</v>
      </c>
      <c r="F49" s="5">
        <v>46133</v>
      </c>
      <c r="H49" s="4" t="s">
        <v>26</v>
      </c>
      <c r="N49" s="4" t="s">
        <v>162</v>
      </c>
      <c r="P49" s="6">
        <v>46133.784629629627</v>
      </c>
      <c r="Q49" s="4" t="s">
        <v>28</v>
      </c>
      <c r="R49" s="4" t="s">
        <v>163</v>
      </c>
      <c r="S49" s="7" t="s">
        <v>29</v>
      </c>
      <c r="T49" s="7" t="s">
        <v>264</v>
      </c>
    </row>
    <row r="50" spans="1:20" s="4" customFormat="1" ht="68" customHeight="1" x14ac:dyDescent="0.2">
      <c r="A50" s="3" t="s">
        <v>265</v>
      </c>
      <c r="B50" s="3" t="s">
        <v>241</v>
      </c>
      <c r="C50" s="4" t="s">
        <v>266</v>
      </c>
      <c r="D50" s="4" t="s">
        <v>267</v>
      </c>
      <c r="E50" s="4" t="str">
        <f>"LBO-LE-9709067058"</f>
        <v>LBO-LE-9709067058</v>
      </c>
      <c r="F50" s="5">
        <v>46133</v>
      </c>
      <c r="H50" s="4" t="s">
        <v>26</v>
      </c>
      <c r="N50" s="4" t="s">
        <v>162</v>
      </c>
      <c r="P50" s="6">
        <v>46133.785833333342</v>
      </c>
      <c r="Q50" s="4" t="s">
        <v>28</v>
      </c>
      <c r="R50" s="4" t="s">
        <v>163</v>
      </c>
      <c r="S50" s="7" t="s">
        <v>29</v>
      </c>
      <c r="T50" s="7" t="s">
        <v>268</v>
      </c>
    </row>
    <row r="51" spans="1:20" s="4" customFormat="1" ht="68" customHeight="1" x14ac:dyDescent="0.2">
      <c r="A51" s="3" t="s">
        <v>269</v>
      </c>
      <c r="B51" s="3" t="s">
        <v>270</v>
      </c>
      <c r="C51" s="4" t="s">
        <v>271</v>
      </c>
      <c r="D51" s="4" t="s">
        <v>272</v>
      </c>
      <c r="E51" s="4" t="str">
        <f>"LBO-LE-7702609477"</f>
        <v>LBO-LE-7702609477</v>
      </c>
      <c r="F51" s="5">
        <v>46133</v>
      </c>
      <c r="H51" s="4" t="s">
        <v>26</v>
      </c>
      <c r="N51" s="4" t="s">
        <v>162</v>
      </c>
      <c r="P51" s="6">
        <v>46133.787048611113</v>
      </c>
      <c r="Q51" s="4" t="s">
        <v>28</v>
      </c>
      <c r="R51" s="4" t="s">
        <v>163</v>
      </c>
      <c r="S51" s="7" t="s">
        <v>29</v>
      </c>
      <c r="T51" s="7" t="s">
        <v>273</v>
      </c>
    </row>
    <row r="52" spans="1:20" s="4" customFormat="1" ht="68" customHeight="1" x14ac:dyDescent="0.2">
      <c r="A52" s="3" t="s">
        <v>274</v>
      </c>
      <c r="B52" s="3" t="s">
        <v>275</v>
      </c>
      <c r="C52" s="4" t="s">
        <v>276</v>
      </c>
      <c r="D52" s="4" t="s">
        <v>277</v>
      </c>
      <c r="E52" s="4" t="str">
        <f>"LBO-LE-9731065465"</f>
        <v>LBO-LE-9731065465</v>
      </c>
      <c r="F52" s="5">
        <v>46133</v>
      </c>
      <c r="H52" s="4" t="s">
        <v>26</v>
      </c>
      <c r="N52" s="4" t="s">
        <v>162</v>
      </c>
      <c r="P52" s="6">
        <v>46133.788263888891</v>
      </c>
      <c r="Q52" s="4" t="s">
        <v>28</v>
      </c>
      <c r="R52" s="4" t="s">
        <v>163</v>
      </c>
      <c r="S52" s="7" t="s">
        <v>29</v>
      </c>
      <c r="T52" s="7" t="s">
        <v>278</v>
      </c>
    </row>
    <row r="53" spans="1:20" s="4" customFormat="1" ht="68" customHeight="1" x14ac:dyDescent="0.2">
      <c r="A53" s="3" t="s">
        <v>279</v>
      </c>
      <c r="B53" s="3" t="s">
        <v>280</v>
      </c>
      <c r="C53" s="4" t="s">
        <v>281</v>
      </c>
      <c r="D53" s="4" t="s">
        <v>282</v>
      </c>
      <c r="E53" s="4" t="str">
        <f>"LBO-LE-6320075951"</f>
        <v>LBO-LE-6320075951</v>
      </c>
      <c r="F53" s="5">
        <v>46133</v>
      </c>
      <c r="H53" s="4" t="s">
        <v>26</v>
      </c>
      <c r="N53" s="4" t="s">
        <v>162</v>
      </c>
      <c r="P53" s="6">
        <v>46133.789467592593</v>
      </c>
      <c r="Q53" s="4" t="s">
        <v>28</v>
      </c>
      <c r="R53" s="4" t="s">
        <v>163</v>
      </c>
      <c r="S53" s="7" t="s">
        <v>29</v>
      </c>
      <c r="T53" s="7" t="s">
        <v>283</v>
      </c>
    </row>
    <row r="54" spans="1:20" s="4" customFormat="1" ht="68" customHeight="1" x14ac:dyDescent="0.2">
      <c r="A54" s="3" t="s">
        <v>284</v>
      </c>
      <c r="B54" s="3" t="s">
        <v>66</v>
      </c>
      <c r="C54" s="4" t="s">
        <v>285</v>
      </c>
      <c r="D54" s="4" t="s">
        <v>286</v>
      </c>
      <c r="E54" s="4" t="str">
        <f>"LBO-LE-9709054813"</f>
        <v>LBO-LE-9709054813</v>
      </c>
      <c r="F54" s="5">
        <v>46133</v>
      </c>
      <c r="H54" s="4" t="s">
        <v>26</v>
      </c>
      <c r="N54" s="4" t="s">
        <v>162</v>
      </c>
      <c r="P54" s="6">
        <v>46133.790671296287</v>
      </c>
      <c r="Q54" s="4" t="s">
        <v>28</v>
      </c>
      <c r="R54" s="4" t="s">
        <v>163</v>
      </c>
      <c r="S54" s="7" t="s">
        <v>29</v>
      </c>
      <c r="T54" s="7" t="s">
        <v>287</v>
      </c>
    </row>
    <row r="55" spans="1:20" s="4" customFormat="1" ht="68" customHeight="1" x14ac:dyDescent="0.2">
      <c r="A55" s="3" t="s">
        <v>288</v>
      </c>
      <c r="B55" s="3" t="s">
        <v>66</v>
      </c>
      <c r="C55" s="4" t="s">
        <v>289</v>
      </c>
      <c r="D55" s="4" t="s">
        <v>290</v>
      </c>
      <c r="E55" s="4" t="str">
        <f>"LBO-LE-1106010917"</f>
        <v>LBO-LE-1106010917</v>
      </c>
      <c r="F55" s="5">
        <v>46133</v>
      </c>
      <c r="H55" s="4" t="s">
        <v>26</v>
      </c>
      <c r="N55" s="4" t="s">
        <v>162</v>
      </c>
      <c r="P55" s="6">
        <v>46133.791828703703</v>
      </c>
      <c r="Q55" s="4" t="s">
        <v>28</v>
      </c>
      <c r="R55" s="4" t="s">
        <v>163</v>
      </c>
      <c r="S55" s="7" t="s">
        <v>29</v>
      </c>
      <c r="T55" s="7" t="s">
        <v>291</v>
      </c>
    </row>
    <row r="56" spans="1:20" s="4" customFormat="1" ht="68" customHeight="1" x14ac:dyDescent="0.2">
      <c r="A56" s="3" t="s">
        <v>292</v>
      </c>
      <c r="B56" s="3" t="s">
        <v>293</v>
      </c>
      <c r="C56" s="4" t="s">
        <v>294</v>
      </c>
      <c r="D56" s="4" t="s">
        <v>295</v>
      </c>
      <c r="E56" s="4" t="str">
        <f>"LBO-LE-3460062918"</f>
        <v>LBO-LE-3460062918</v>
      </c>
      <c r="F56" s="5">
        <v>46133</v>
      </c>
      <c r="H56" s="4" t="s">
        <v>26</v>
      </c>
      <c r="N56" s="4" t="s">
        <v>162</v>
      </c>
      <c r="P56" s="6">
        <v>46133.793032407397</v>
      </c>
      <c r="Q56" s="4" t="s">
        <v>28</v>
      </c>
      <c r="R56" s="4" t="s">
        <v>163</v>
      </c>
      <c r="S56" s="7" t="s">
        <v>29</v>
      </c>
      <c r="T56" s="7" t="s">
        <v>296</v>
      </c>
    </row>
    <row r="57" spans="1:20" s="4" customFormat="1" ht="68" customHeight="1" x14ac:dyDescent="0.2">
      <c r="A57" s="3" t="s">
        <v>297</v>
      </c>
      <c r="B57" s="3" t="s">
        <v>298</v>
      </c>
      <c r="C57" s="4" t="s">
        <v>299</v>
      </c>
      <c r="D57" s="4" t="s">
        <v>300</v>
      </c>
      <c r="E57" s="4" t="str">
        <f>"LBO-LE-3812014066"</f>
        <v>LBO-LE-3812014066</v>
      </c>
      <c r="F57" s="5">
        <v>46133</v>
      </c>
      <c r="H57" s="4" t="s">
        <v>26</v>
      </c>
      <c r="N57" s="4" t="s">
        <v>162</v>
      </c>
      <c r="P57" s="6">
        <v>46133.794085648151</v>
      </c>
      <c r="Q57" s="4" t="s">
        <v>28</v>
      </c>
      <c r="R57" s="4" t="s">
        <v>163</v>
      </c>
      <c r="S57" s="7" t="s">
        <v>29</v>
      </c>
      <c r="T57" s="7" t="s">
        <v>301</v>
      </c>
    </row>
    <row r="58" spans="1:20" s="4" customFormat="1" ht="68" customHeight="1" x14ac:dyDescent="0.2">
      <c r="A58" s="3" t="s">
        <v>302</v>
      </c>
      <c r="B58" s="3" t="s">
        <v>176</v>
      </c>
      <c r="C58" s="4" t="s">
        <v>303</v>
      </c>
      <c r="D58" s="4" t="s">
        <v>304</v>
      </c>
      <c r="E58" s="4" t="str">
        <f>"LBO-LE-5045016560"</f>
        <v>LBO-LE-5045016560</v>
      </c>
      <c r="F58" s="5">
        <v>46133</v>
      </c>
      <c r="H58" s="4" t="s">
        <v>26</v>
      </c>
      <c r="N58" s="4" t="s">
        <v>162</v>
      </c>
      <c r="P58" s="6">
        <v>46133.795300925929</v>
      </c>
      <c r="Q58" s="4" t="s">
        <v>28</v>
      </c>
      <c r="R58" s="4" t="s">
        <v>163</v>
      </c>
      <c r="S58" s="7" t="s">
        <v>29</v>
      </c>
      <c r="T58" s="7" t="s">
        <v>305</v>
      </c>
    </row>
    <row r="59" spans="1:20" s="4" customFormat="1" ht="68" customHeight="1" x14ac:dyDescent="0.2">
      <c r="A59" s="3" t="s">
        <v>306</v>
      </c>
      <c r="B59" s="3" t="s">
        <v>176</v>
      </c>
      <c r="C59" s="4" t="s">
        <v>307</v>
      </c>
      <c r="D59" s="4" t="s">
        <v>308</v>
      </c>
      <c r="E59" s="4" t="str">
        <f>"LBO-LE-6905062011"</f>
        <v>LBO-LE-6905062011</v>
      </c>
      <c r="F59" s="5">
        <v>46133</v>
      </c>
      <c r="H59" s="4" t="s">
        <v>26</v>
      </c>
      <c r="N59" s="4" t="s">
        <v>162</v>
      </c>
      <c r="P59" s="6">
        <v>46133.796481481477</v>
      </c>
      <c r="Q59" s="4" t="s">
        <v>28</v>
      </c>
      <c r="R59" s="4" t="s">
        <v>163</v>
      </c>
      <c r="S59" s="7" t="s">
        <v>29</v>
      </c>
      <c r="T59" s="7" t="s">
        <v>309</v>
      </c>
    </row>
    <row r="60" spans="1:20" s="4" customFormat="1" ht="68" customHeight="1" x14ac:dyDescent="0.2">
      <c r="A60" s="3" t="s">
        <v>310</v>
      </c>
      <c r="B60" s="3" t="s">
        <v>311</v>
      </c>
      <c r="C60" s="4" t="s">
        <v>312</v>
      </c>
      <c r="D60" s="4" t="s">
        <v>313</v>
      </c>
      <c r="E60" s="4" t="str">
        <f>"LBO-LE-1657203961"</f>
        <v>LBO-LE-1657203961</v>
      </c>
      <c r="F60" s="5">
        <v>46133</v>
      </c>
      <c r="H60" s="4" t="s">
        <v>26</v>
      </c>
      <c r="N60" s="4" t="s">
        <v>162</v>
      </c>
      <c r="P60" s="6">
        <v>46133.797650462962</v>
      </c>
      <c r="Q60" s="4" t="s">
        <v>28</v>
      </c>
      <c r="R60" s="4" t="s">
        <v>163</v>
      </c>
      <c r="S60" s="7" t="s">
        <v>29</v>
      </c>
      <c r="T60" s="7" t="s">
        <v>314</v>
      </c>
    </row>
    <row r="61" spans="1:20" s="4" customFormat="1" ht="68" customHeight="1" x14ac:dyDescent="0.2">
      <c r="A61" s="3" t="s">
        <v>315</v>
      </c>
      <c r="B61" s="3" t="s">
        <v>275</v>
      </c>
      <c r="C61" s="4" t="s">
        <v>316</v>
      </c>
      <c r="D61" s="4" t="s">
        <v>317</v>
      </c>
      <c r="E61" s="4" t="str">
        <f>"LBO-LE-9731026963"</f>
        <v>LBO-LE-9731026963</v>
      </c>
      <c r="F61" s="5">
        <v>46133</v>
      </c>
      <c r="H61" s="4" t="s">
        <v>26</v>
      </c>
      <c r="N61" s="4" t="s">
        <v>162</v>
      </c>
      <c r="P61" s="6">
        <v>46133.798761574071</v>
      </c>
      <c r="Q61" s="4" t="s">
        <v>28</v>
      </c>
      <c r="R61" s="4" t="s">
        <v>163</v>
      </c>
      <c r="S61" s="7" t="s">
        <v>29</v>
      </c>
      <c r="T61" s="7" t="s">
        <v>318</v>
      </c>
    </row>
    <row r="62" spans="1:20" s="4" customFormat="1" ht="68" customHeight="1" x14ac:dyDescent="0.2">
      <c r="A62" s="3" t="s">
        <v>319</v>
      </c>
      <c r="B62" s="3" t="s">
        <v>320</v>
      </c>
      <c r="C62" s="4" t="s">
        <v>321</v>
      </c>
      <c r="D62" s="4" t="s">
        <v>322</v>
      </c>
      <c r="E62" s="4" t="str">
        <f>"LBO-LE-7708328948"</f>
        <v>LBO-LE-7708328948</v>
      </c>
      <c r="F62" s="5">
        <v>46133</v>
      </c>
      <c r="H62" s="4" t="s">
        <v>26</v>
      </c>
      <c r="N62" s="4" t="s">
        <v>162</v>
      </c>
      <c r="P62" s="6">
        <v>46133.799930555557</v>
      </c>
      <c r="Q62" s="4" t="s">
        <v>28</v>
      </c>
      <c r="R62" s="4" t="s">
        <v>163</v>
      </c>
      <c r="S62" s="7" t="s">
        <v>29</v>
      </c>
      <c r="T62" s="7" t="s">
        <v>323</v>
      </c>
    </row>
    <row r="63" spans="1:20" s="4" customFormat="1" ht="68" customHeight="1" x14ac:dyDescent="0.2">
      <c r="A63" s="3" t="s">
        <v>324</v>
      </c>
      <c r="B63" s="3" t="s">
        <v>181</v>
      </c>
      <c r="C63" s="4" t="s">
        <v>325</v>
      </c>
      <c r="D63" s="4" t="s">
        <v>326</v>
      </c>
      <c r="E63" s="4" t="str">
        <f>"LBO-LE-7717586110"</f>
        <v>LBO-LE-7717586110</v>
      </c>
      <c r="F63" s="5">
        <v>46133</v>
      </c>
      <c r="H63" s="4" t="s">
        <v>26</v>
      </c>
      <c r="N63" s="4" t="s">
        <v>162</v>
      </c>
      <c r="P63" s="6">
        <v>46133.801122685189</v>
      </c>
      <c r="Q63" s="4" t="s">
        <v>28</v>
      </c>
      <c r="R63" s="4" t="s">
        <v>163</v>
      </c>
      <c r="S63" s="7" t="s">
        <v>29</v>
      </c>
      <c r="T63" s="7" t="s">
        <v>327</v>
      </c>
    </row>
    <row r="64" spans="1:20" s="4" customFormat="1" ht="68" customHeight="1" x14ac:dyDescent="0.2">
      <c r="A64" s="3" t="s">
        <v>328</v>
      </c>
      <c r="B64" s="3" t="s">
        <v>32</v>
      </c>
      <c r="C64" s="4" t="s">
        <v>329</v>
      </c>
      <c r="D64" s="4" t="s">
        <v>330</v>
      </c>
      <c r="E64" s="4" t="str">
        <f>"LBO-LE-7736249247"</f>
        <v>LBO-LE-7736249247</v>
      </c>
      <c r="F64" s="5">
        <v>46133</v>
      </c>
      <c r="H64" s="4" t="s">
        <v>26</v>
      </c>
      <c r="N64" s="4" t="s">
        <v>162</v>
      </c>
      <c r="P64" s="6">
        <v>46133.802337962959</v>
      </c>
      <c r="Q64" s="4" t="s">
        <v>28</v>
      </c>
      <c r="R64" s="4" t="s">
        <v>163</v>
      </c>
      <c r="S64" s="7" t="s">
        <v>29</v>
      </c>
      <c r="T64" s="7" t="s">
        <v>331</v>
      </c>
    </row>
    <row r="65" spans="1:20" s="4" customFormat="1" ht="68" customHeight="1" x14ac:dyDescent="0.2">
      <c r="A65" s="3" t="s">
        <v>332</v>
      </c>
      <c r="B65" s="3" t="s">
        <v>181</v>
      </c>
      <c r="C65" s="4" t="s">
        <v>333</v>
      </c>
      <c r="D65" s="4" t="s">
        <v>334</v>
      </c>
      <c r="E65" s="4" t="str">
        <f>"LBO-LE-7750005725"</f>
        <v>LBO-LE-7750005725</v>
      </c>
      <c r="F65" s="5">
        <v>46133</v>
      </c>
      <c r="H65" s="4" t="s">
        <v>26</v>
      </c>
      <c r="N65" s="4" t="s">
        <v>192</v>
      </c>
      <c r="P65" s="6">
        <v>46133.803425925929</v>
      </c>
      <c r="Q65" s="4" t="s">
        <v>28</v>
      </c>
      <c r="S65" s="7" t="s">
        <v>29</v>
      </c>
      <c r="T65" s="7" t="s">
        <v>335</v>
      </c>
    </row>
    <row r="66" spans="1:20" s="4" customFormat="1" ht="68" customHeight="1" x14ac:dyDescent="0.2">
      <c r="A66" s="3" t="s">
        <v>336</v>
      </c>
      <c r="B66" s="3" t="s">
        <v>66</v>
      </c>
      <c r="C66" s="4" t="s">
        <v>337</v>
      </c>
      <c r="D66" s="4" t="s">
        <v>338</v>
      </c>
      <c r="E66" s="4" t="str">
        <f>"LBS-LE-7736316133"</f>
        <v>LBS-LE-7736316133</v>
      </c>
      <c r="F66" s="5">
        <v>46133</v>
      </c>
      <c r="H66" s="4" t="s">
        <v>26</v>
      </c>
      <c r="N66" s="4" t="s">
        <v>162</v>
      </c>
      <c r="P66" s="6">
        <v>46133.8046412037</v>
      </c>
      <c r="Q66" s="4" t="s">
        <v>28</v>
      </c>
      <c r="R66" s="4" t="s">
        <v>163</v>
      </c>
      <c r="S66" s="7" t="s">
        <v>29</v>
      </c>
      <c r="T66" s="7" t="s">
        <v>339</v>
      </c>
    </row>
    <row r="67" spans="1:20" s="4" customFormat="1" ht="68" customHeight="1" x14ac:dyDescent="0.2">
      <c r="A67" s="3" t="s">
        <v>340</v>
      </c>
      <c r="B67" s="3" t="s">
        <v>23</v>
      </c>
      <c r="C67" s="4" t="s">
        <v>341</v>
      </c>
      <c r="D67" s="4" t="s">
        <v>342</v>
      </c>
      <c r="E67" s="4" t="str">
        <f>"LBS-LE-7713076301"</f>
        <v>LBS-LE-7713076301</v>
      </c>
      <c r="F67" s="5">
        <v>46133</v>
      </c>
      <c r="H67" s="4" t="s">
        <v>26</v>
      </c>
      <c r="N67" s="4" t="s">
        <v>162</v>
      </c>
      <c r="P67" s="6">
        <v>46133.805856481478</v>
      </c>
      <c r="Q67" s="4" t="s">
        <v>28</v>
      </c>
      <c r="R67" s="4" t="s">
        <v>163</v>
      </c>
      <c r="S67" s="7" t="s">
        <v>29</v>
      </c>
      <c r="T67" s="7" t="s">
        <v>343</v>
      </c>
    </row>
    <row r="68" spans="1:20" s="4" customFormat="1" ht="68" customHeight="1" x14ac:dyDescent="0.2">
      <c r="A68" s="3" t="s">
        <v>344</v>
      </c>
      <c r="B68" s="3" t="s">
        <v>345</v>
      </c>
      <c r="C68" s="4" t="s">
        <v>346</v>
      </c>
      <c r="D68" s="4" t="s">
        <v>347</v>
      </c>
      <c r="E68" s="4" t="str">
        <f>"LBS-LE-1435115880"</f>
        <v>LBS-LE-1435115880</v>
      </c>
      <c r="F68" s="5">
        <v>46133</v>
      </c>
      <c r="H68" s="4" t="s">
        <v>26</v>
      </c>
      <c r="N68" s="4" t="s">
        <v>162</v>
      </c>
      <c r="P68" s="6">
        <v>46133.820925925917</v>
      </c>
      <c r="Q68" s="4" t="s">
        <v>28</v>
      </c>
      <c r="R68" s="4" t="s">
        <v>163</v>
      </c>
      <c r="S68" s="7" t="s">
        <v>29</v>
      </c>
      <c r="T68" s="7" t="s">
        <v>348</v>
      </c>
    </row>
    <row r="69" spans="1:20" s="4" customFormat="1" ht="68" customHeight="1" x14ac:dyDescent="0.2">
      <c r="A69" s="3" t="s">
        <v>349</v>
      </c>
      <c r="B69" s="3" t="s">
        <v>350</v>
      </c>
      <c r="C69" s="4" t="s">
        <v>351</v>
      </c>
      <c r="D69" s="4" t="s">
        <v>352</v>
      </c>
      <c r="E69" s="4" t="str">
        <f>"LBS-LE-6662005668"</f>
        <v>LBS-LE-6662005668</v>
      </c>
      <c r="F69" s="5">
        <v>46133</v>
      </c>
      <c r="H69" s="4" t="s">
        <v>26</v>
      </c>
      <c r="N69" s="4" t="s">
        <v>162</v>
      </c>
      <c r="P69" s="6">
        <v>46133.837523148148</v>
      </c>
      <c r="Q69" s="4" t="s">
        <v>28</v>
      </c>
      <c r="R69" s="4" t="s">
        <v>163</v>
      </c>
      <c r="S69" s="7" t="s">
        <v>29</v>
      </c>
      <c r="T69" s="7" t="s">
        <v>353</v>
      </c>
    </row>
    <row r="70" spans="1:20" s="4" customFormat="1" ht="68" customHeight="1" x14ac:dyDescent="0.2">
      <c r="A70" s="3" t="s">
        <v>354</v>
      </c>
      <c r="B70" s="3" t="s">
        <v>355</v>
      </c>
      <c r="C70" s="4" t="s">
        <v>356</v>
      </c>
      <c r="D70" s="4" t="s">
        <v>357</v>
      </c>
      <c r="E70" s="4" t="str">
        <f>"LBS-LE-1901120231"</f>
        <v>LBS-LE-1901120231</v>
      </c>
      <c r="F70" s="5">
        <v>46133</v>
      </c>
      <c r="H70" s="4" t="s">
        <v>26</v>
      </c>
      <c r="N70" s="4" t="s">
        <v>162</v>
      </c>
      <c r="P70" s="6">
        <v>46133.838634259257</v>
      </c>
      <c r="Q70" s="4" t="s">
        <v>28</v>
      </c>
      <c r="R70" s="4" t="s">
        <v>163</v>
      </c>
      <c r="S70" s="7" t="s">
        <v>29</v>
      </c>
      <c r="T70" s="7" t="s">
        <v>358</v>
      </c>
    </row>
    <row r="71" spans="1:20" s="4" customFormat="1" ht="68" customHeight="1" x14ac:dyDescent="0.2">
      <c r="A71" s="3" t="s">
        <v>359</v>
      </c>
      <c r="B71" s="3" t="s">
        <v>360</v>
      </c>
      <c r="C71" s="4" t="s">
        <v>361</v>
      </c>
      <c r="D71" s="4" t="s">
        <v>362</v>
      </c>
      <c r="E71" s="4" t="str">
        <f>"LBS-LE-7707308480"</f>
        <v>LBS-LE-7707308480</v>
      </c>
      <c r="F71" s="5">
        <v>46133</v>
      </c>
      <c r="H71" s="4" t="s">
        <v>26</v>
      </c>
      <c r="N71" s="4" t="s">
        <v>162</v>
      </c>
      <c r="P71" s="6">
        <v>46133.839756944442</v>
      </c>
      <c r="Q71" s="4" t="s">
        <v>28</v>
      </c>
      <c r="R71" s="4" t="s">
        <v>163</v>
      </c>
      <c r="S71" s="7" t="s">
        <v>29</v>
      </c>
      <c r="T71" s="7" t="s">
        <v>363</v>
      </c>
    </row>
    <row r="72" spans="1:20" s="4" customFormat="1" ht="68" customHeight="1" x14ac:dyDescent="0.2">
      <c r="A72" s="3" t="s">
        <v>364</v>
      </c>
      <c r="B72" s="3" t="s">
        <v>365</v>
      </c>
      <c r="C72" s="4" t="s">
        <v>366</v>
      </c>
      <c r="D72" s="4" t="s">
        <v>367</v>
      </c>
      <c r="E72" s="4" t="str">
        <f>"LBS-LE-7728312865"</f>
        <v>LBS-LE-7728312865</v>
      </c>
      <c r="F72" s="5">
        <v>46133</v>
      </c>
      <c r="H72" s="4" t="s">
        <v>26</v>
      </c>
      <c r="N72" s="4" t="s">
        <v>162</v>
      </c>
      <c r="P72" s="6">
        <v>46133.840879629628</v>
      </c>
      <c r="Q72" s="4" t="s">
        <v>28</v>
      </c>
      <c r="R72" s="4" t="s">
        <v>163</v>
      </c>
      <c r="S72" s="7" t="s">
        <v>29</v>
      </c>
      <c r="T72" s="7" t="s">
        <v>368</v>
      </c>
    </row>
    <row r="73" spans="1:20" s="4" customFormat="1" ht="68" customHeight="1" x14ac:dyDescent="0.2">
      <c r="A73" s="3" t="s">
        <v>369</v>
      </c>
      <c r="B73" s="3" t="s">
        <v>370</v>
      </c>
      <c r="C73" s="4" t="s">
        <v>371</v>
      </c>
      <c r="D73" s="4" t="s">
        <v>372</v>
      </c>
      <c r="E73" s="4" t="str">
        <f>"LBS-LE-7811701440"</f>
        <v>LBS-LE-7811701440</v>
      </c>
      <c r="F73" s="5">
        <v>46133</v>
      </c>
      <c r="H73" s="4" t="s">
        <v>26</v>
      </c>
      <c r="N73" s="4" t="s">
        <v>162</v>
      </c>
      <c r="P73" s="6">
        <v>46133.842094907413</v>
      </c>
      <c r="Q73" s="4" t="s">
        <v>28</v>
      </c>
      <c r="R73" s="4" t="s">
        <v>163</v>
      </c>
      <c r="S73" s="7" t="s">
        <v>29</v>
      </c>
      <c r="T73" s="7" t="s">
        <v>373</v>
      </c>
    </row>
    <row r="74" spans="1:20" s="4" customFormat="1" ht="68" customHeight="1" x14ac:dyDescent="0.2">
      <c r="A74" s="3" t="s">
        <v>374</v>
      </c>
      <c r="B74" s="3" t="s">
        <v>246</v>
      </c>
      <c r="C74" s="4" t="s">
        <v>375</v>
      </c>
      <c r="D74" s="4" t="s">
        <v>376</v>
      </c>
      <c r="E74" s="4" t="str">
        <f>"LBS-LE-1655258235"</f>
        <v>LBS-LE-1655258235</v>
      </c>
      <c r="F74" s="5">
        <v>46133</v>
      </c>
      <c r="H74" s="4" t="s">
        <v>26</v>
      </c>
      <c r="N74" s="4" t="s">
        <v>162</v>
      </c>
      <c r="P74" s="6">
        <v>46133.843321759261</v>
      </c>
      <c r="Q74" s="4" t="s">
        <v>28</v>
      </c>
      <c r="R74" s="4" t="s">
        <v>163</v>
      </c>
      <c r="S74" s="7" t="s">
        <v>29</v>
      </c>
      <c r="T74" s="7" t="s">
        <v>377</v>
      </c>
    </row>
    <row r="75" spans="1:20" s="4" customFormat="1" ht="68" customHeight="1" x14ac:dyDescent="0.2">
      <c r="A75" s="3" t="s">
        <v>378</v>
      </c>
      <c r="B75" s="3" t="s">
        <v>379</v>
      </c>
      <c r="C75" s="4" t="s">
        <v>380</v>
      </c>
      <c r="D75" s="4" t="s">
        <v>381</v>
      </c>
      <c r="E75" s="4" t="str">
        <f>"LBS-LE-5045073872"</f>
        <v>LBS-LE-5045073872</v>
      </c>
      <c r="F75" s="5">
        <v>46133</v>
      </c>
      <c r="H75" s="4" t="s">
        <v>26</v>
      </c>
      <c r="N75" s="4" t="s">
        <v>162</v>
      </c>
      <c r="P75" s="6">
        <v>46133.844513888893</v>
      </c>
      <c r="Q75" s="4" t="s">
        <v>28</v>
      </c>
      <c r="R75" s="4" t="s">
        <v>163</v>
      </c>
      <c r="S75" s="7" t="s">
        <v>29</v>
      </c>
      <c r="T75" s="7" t="s">
        <v>382</v>
      </c>
    </row>
    <row r="76" spans="1:20" s="4" customFormat="1" ht="68" customHeight="1" x14ac:dyDescent="0.2">
      <c r="A76" s="3" t="s">
        <v>383</v>
      </c>
      <c r="B76" s="3" t="s">
        <v>384</v>
      </c>
      <c r="C76" s="4" t="s">
        <v>385</v>
      </c>
      <c r="D76" s="4" t="s">
        <v>386</v>
      </c>
      <c r="E76" s="4" t="str">
        <f>"LBS-LE-2225004738"</f>
        <v>LBS-LE-2225004738</v>
      </c>
      <c r="F76" s="5">
        <v>46133</v>
      </c>
      <c r="H76" s="4" t="s">
        <v>26</v>
      </c>
      <c r="N76" s="4" t="s">
        <v>162</v>
      </c>
      <c r="P76" s="6">
        <v>46133.845717592587</v>
      </c>
      <c r="Q76" s="4" t="s">
        <v>28</v>
      </c>
      <c r="R76" s="4" t="s">
        <v>163</v>
      </c>
      <c r="S76" s="7" t="s">
        <v>29</v>
      </c>
      <c r="T76" s="7" t="s">
        <v>387</v>
      </c>
    </row>
    <row r="77" spans="1:20" s="4" customFormat="1" ht="68" customHeight="1" x14ac:dyDescent="0.2">
      <c r="A77" s="3" t="s">
        <v>388</v>
      </c>
      <c r="B77" s="3" t="s">
        <v>389</v>
      </c>
      <c r="C77" s="4" t="s">
        <v>390</v>
      </c>
      <c r="D77" s="4" t="s">
        <v>391</v>
      </c>
      <c r="E77" s="4" t="str">
        <f>"LBS-LE-7449006184"</f>
        <v>LBS-LE-7449006184</v>
      </c>
      <c r="F77" s="5">
        <v>46133</v>
      </c>
      <c r="H77" s="4" t="s">
        <v>26</v>
      </c>
      <c r="N77" s="4" t="s">
        <v>162</v>
      </c>
      <c r="P77" s="6">
        <v>46133.846875000003</v>
      </c>
      <c r="Q77" s="4" t="s">
        <v>28</v>
      </c>
      <c r="R77" s="4" t="s">
        <v>163</v>
      </c>
      <c r="S77" s="7" t="s">
        <v>29</v>
      </c>
      <c r="T77" s="7" t="s">
        <v>392</v>
      </c>
    </row>
    <row r="78" spans="1:20" s="4" customFormat="1" ht="68" customHeight="1" x14ac:dyDescent="0.2">
      <c r="A78" s="3" t="s">
        <v>349</v>
      </c>
      <c r="B78" s="3" t="s">
        <v>350</v>
      </c>
      <c r="C78" s="4" t="s">
        <v>351</v>
      </c>
      <c r="D78" s="4" t="s">
        <v>352</v>
      </c>
      <c r="E78" s="4" t="str">
        <f>"LBS-LE-6662005668"</f>
        <v>LBS-LE-6662005668</v>
      </c>
      <c r="F78" s="5">
        <v>46133</v>
      </c>
      <c r="H78" s="4" t="s">
        <v>26</v>
      </c>
      <c r="N78" s="4" t="s">
        <v>162</v>
      </c>
      <c r="P78" s="6">
        <v>46133.847997685189</v>
      </c>
      <c r="Q78" s="4" t="s">
        <v>28</v>
      </c>
      <c r="R78" s="4" t="s">
        <v>163</v>
      </c>
      <c r="S78" s="7" t="s">
        <v>29</v>
      </c>
      <c r="T78" s="7" t="s">
        <v>393</v>
      </c>
    </row>
    <row r="79" spans="1:20" s="4" customFormat="1" ht="68" customHeight="1" x14ac:dyDescent="0.2">
      <c r="A79" s="3" t="s">
        <v>394</v>
      </c>
      <c r="B79" s="3" t="s">
        <v>149</v>
      </c>
      <c r="C79" s="4" t="s">
        <v>395</v>
      </c>
      <c r="D79" s="4" t="s">
        <v>396</v>
      </c>
      <c r="E79" s="4" t="str">
        <f>"LBS-LE-7714030726"</f>
        <v>LBS-LE-7714030726</v>
      </c>
      <c r="F79" s="5">
        <v>46133</v>
      </c>
      <c r="H79" s="4" t="s">
        <v>26</v>
      </c>
      <c r="N79" s="4" t="s">
        <v>162</v>
      </c>
      <c r="P79" s="6">
        <v>46133.849120370367</v>
      </c>
      <c r="Q79" s="4" t="s">
        <v>28</v>
      </c>
      <c r="R79" s="4" t="s">
        <v>163</v>
      </c>
      <c r="S79" s="7" t="s">
        <v>29</v>
      </c>
      <c r="T79" s="7" t="s">
        <v>397</v>
      </c>
    </row>
    <row r="80" spans="1:20" s="4" customFormat="1" ht="68" customHeight="1" x14ac:dyDescent="0.2">
      <c r="A80" s="3" t="s">
        <v>398</v>
      </c>
      <c r="B80" s="3" t="s">
        <v>236</v>
      </c>
      <c r="C80" s="4" t="s">
        <v>399</v>
      </c>
      <c r="D80" s="4" t="s">
        <v>400</v>
      </c>
      <c r="E80" s="4" t="str">
        <f>"LBS-LE-7724890784"</f>
        <v>LBS-LE-7724890784</v>
      </c>
      <c r="F80" s="5">
        <v>46133</v>
      </c>
      <c r="H80" s="4" t="s">
        <v>26</v>
      </c>
      <c r="N80" s="4" t="s">
        <v>162</v>
      </c>
      <c r="P80" s="6">
        <v>46133.850266203714</v>
      </c>
      <c r="Q80" s="4" t="s">
        <v>28</v>
      </c>
      <c r="R80" s="4" t="s">
        <v>163</v>
      </c>
      <c r="S80" s="7" t="s">
        <v>29</v>
      </c>
      <c r="T80" s="7" t="s">
        <v>401</v>
      </c>
    </row>
    <row r="81" spans="1:22" s="4" customFormat="1" ht="68" customHeight="1" x14ac:dyDescent="0.2">
      <c r="A81" s="3" t="s">
        <v>402</v>
      </c>
      <c r="B81" s="3" t="s">
        <v>403</v>
      </c>
      <c r="C81" s="4" t="s">
        <v>404</v>
      </c>
      <c r="D81" s="4" t="s">
        <v>405</v>
      </c>
      <c r="E81" s="4" t="str">
        <f>"LBO-LE-7707049388"</f>
        <v>LBO-LE-7707049388</v>
      </c>
      <c r="F81" s="5">
        <v>46134</v>
      </c>
      <c r="H81" s="4" t="s">
        <v>26</v>
      </c>
      <c r="N81" s="4" t="s">
        <v>162</v>
      </c>
      <c r="P81" s="6">
        <v>46134.338182870371</v>
      </c>
      <c r="Q81" s="4" t="s">
        <v>28</v>
      </c>
      <c r="R81" s="4" t="s">
        <v>163</v>
      </c>
      <c r="S81" s="7" t="s">
        <v>29</v>
      </c>
      <c r="T81" s="7" t="s">
        <v>406</v>
      </c>
    </row>
    <row r="82" spans="1:22" s="4" customFormat="1" ht="68" customHeight="1" x14ac:dyDescent="0.2">
      <c r="A82" s="3" t="s">
        <v>54</v>
      </c>
      <c r="B82" s="3" t="s">
        <v>23</v>
      </c>
      <c r="C82" s="4" t="s">
        <v>55</v>
      </c>
      <c r="D82" s="4" t="s">
        <v>407</v>
      </c>
      <c r="E82" s="4" t="str">
        <f>"LBO-LE-7743001840"</f>
        <v>LBO-LE-7743001840</v>
      </c>
      <c r="F82" s="5">
        <v>46134</v>
      </c>
      <c r="H82" s="4" t="s">
        <v>26</v>
      </c>
      <c r="N82" s="4" t="s">
        <v>162</v>
      </c>
      <c r="P82" s="6">
        <v>46134.339212962957</v>
      </c>
      <c r="Q82" s="4" t="s">
        <v>28</v>
      </c>
      <c r="R82" s="4" t="s">
        <v>163</v>
      </c>
      <c r="S82" s="7" t="s">
        <v>29</v>
      </c>
      <c r="T82" s="7" t="s">
        <v>408</v>
      </c>
      <c r="V82" s="4" t="s">
        <v>58</v>
      </c>
    </row>
    <row r="83" spans="1:22" s="4" customFormat="1" ht="68" customHeight="1" x14ac:dyDescent="0.2">
      <c r="A83" s="3" t="s">
        <v>409</v>
      </c>
      <c r="B83" s="3" t="s">
        <v>410</v>
      </c>
      <c r="C83" s="4" t="s">
        <v>411</v>
      </c>
      <c r="D83" s="4" t="s">
        <v>412</v>
      </c>
      <c r="E83" s="4" t="str">
        <f>"LBO-LE-7813286694"</f>
        <v>LBO-LE-7813286694</v>
      </c>
      <c r="F83" s="5">
        <v>46134</v>
      </c>
      <c r="H83" s="4" t="s">
        <v>26</v>
      </c>
      <c r="N83" s="4" t="s">
        <v>162</v>
      </c>
      <c r="P83" s="6">
        <v>46134.340254629627</v>
      </c>
      <c r="Q83" s="4" t="s">
        <v>28</v>
      </c>
      <c r="R83" s="4" t="s">
        <v>163</v>
      </c>
      <c r="S83" s="7" t="s">
        <v>29</v>
      </c>
      <c r="T83" s="7" t="s">
        <v>413</v>
      </c>
    </row>
    <row r="84" spans="1:22" s="4" customFormat="1" ht="68" customHeight="1" x14ac:dyDescent="0.2">
      <c r="A84" s="3" t="s">
        <v>414</v>
      </c>
      <c r="B84" s="3" t="s">
        <v>415</v>
      </c>
      <c r="C84" s="4" t="s">
        <v>416</v>
      </c>
      <c r="D84" s="4" t="s">
        <v>417</v>
      </c>
      <c r="E84" s="4" t="str">
        <f>"LBO-LE-9729292654"</f>
        <v>LBO-LE-9729292654</v>
      </c>
      <c r="F84" s="5">
        <v>46134</v>
      </c>
      <c r="H84" s="4" t="s">
        <v>26</v>
      </c>
      <c r="N84" s="4" t="s">
        <v>162</v>
      </c>
      <c r="P84" s="6">
        <v>46134.341284722221</v>
      </c>
      <c r="Q84" s="4" t="s">
        <v>28</v>
      </c>
      <c r="R84" s="4" t="s">
        <v>163</v>
      </c>
      <c r="S84" s="7" t="s">
        <v>29</v>
      </c>
      <c r="T84" s="7" t="s">
        <v>418</v>
      </c>
    </row>
    <row r="85" spans="1:22" s="4" customFormat="1" ht="68" customHeight="1" x14ac:dyDescent="0.2">
      <c r="A85" s="3" t="s">
        <v>419</v>
      </c>
      <c r="B85" s="3" t="s">
        <v>420</v>
      </c>
      <c r="C85" s="4" t="s">
        <v>421</v>
      </c>
      <c r="D85" s="4" t="s">
        <v>422</v>
      </c>
      <c r="E85" s="4" t="str">
        <f>"LBS-LE-2540022316"</f>
        <v>LBS-LE-2540022316</v>
      </c>
      <c r="F85" s="5">
        <v>46134</v>
      </c>
      <c r="H85" s="4" t="s">
        <v>26</v>
      </c>
      <c r="N85" s="4" t="s">
        <v>162</v>
      </c>
      <c r="P85" s="6">
        <v>46134.342303240737</v>
      </c>
      <c r="Q85" s="4" t="s">
        <v>28</v>
      </c>
      <c r="R85" s="4" t="s">
        <v>163</v>
      </c>
      <c r="S85" s="7" t="s">
        <v>29</v>
      </c>
      <c r="T85" s="7" t="s">
        <v>423</v>
      </c>
    </row>
    <row r="86" spans="1:22" s="4" customFormat="1" ht="68" customHeight="1" x14ac:dyDescent="0.2">
      <c r="A86" s="3" t="s">
        <v>424</v>
      </c>
      <c r="B86" s="3" t="s">
        <v>32</v>
      </c>
      <c r="C86" s="4" t="s">
        <v>425</v>
      </c>
      <c r="D86" s="4" t="s">
        <v>426</v>
      </c>
      <c r="E86" s="4" t="str">
        <f>"LBS-LE-7744002123"</f>
        <v>LBS-LE-7744002123</v>
      </c>
      <c r="F86" s="5">
        <v>46134</v>
      </c>
      <c r="H86" s="4" t="s">
        <v>26</v>
      </c>
      <c r="N86" s="4" t="s">
        <v>162</v>
      </c>
      <c r="P86" s="6">
        <v>46134.344386574077</v>
      </c>
      <c r="Q86" s="4" t="s">
        <v>28</v>
      </c>
      <c r="R86" s="4" t="s">
        <v>163</v>
      </c>
      <c r="S86" s="7" t="s">
        <v>29</v>
      </c>
      <c r="T86" s="7" t="s">
        <v>427</v>
      </c>
    </row>
    <row r="87" spans="1:22" s="4" customFormat="1" ht="68" customHeight="1" x14ac:dyDescent="0.2">
      <c r="A87" s="3" t="s">
        <v>428</v>
      </c>
      <c r="B87" s="3" t="s">
        <v>241</v>
      </c>
      <c r="C87" s="4" t="s">
        <v>429</v>
      </c>
      <c r="D87" s="4" t="s">
        <v>430</v>
      </c>
      <c r="E87" s="4" t="str">
        <f>"LBS-LE-7702454880"</f>
        <v>LBS-LE-7702454880</v>
      </c>
      <c r="F87" s="5">
        <v>46134</v>
      </c>
      <c r="H87" s="4" t="s">
        <v>26</v>
      </c>
      <c r="N87" s="4" t="s">
        <v>162</v>
      </c>
      <c r="P87" s="6">
        <v>46134.345335648148</v>
      </c>
      <c r="Q87" s="4" t="s">
        <v>28</v>
      </c>
      <c r="R87" s="4" t="s">
        <v>163</v>
      </c>
      <c r="S87" s="7" t="s">
        <v>29</v>
      </c>
      <c r="T87" s="7" t="s">
        <v>431</v>
      </c>
    </row>
    <row r="88" spans="1:22" s="4" customFormat="1" ht="68" customHeight="1" x14ac:dyDescent="0.2">
      <c r="A88" s="3" t="s">
        <v>432</v>
      </c>
      <c r="B88" s="3" t="s">
        <v>345</v>
      </c>
      <c r="C88" s="4" t="s">
        <v>433</v>
      </c>
      <c r="D88" s="4" t="s">
        <v>434</v>
      </c>
      <c r="E88" s="4" t="str">
        <f>"LBS-LE-1435236532"</f>
        <v>LBS-LE-1435236532</v>
      </c>
      <c r="F88" s="5">
        <v>46134</v>
      </c>
      <c r="H88" s="4" t="s">
        <v>26</v>
      </c>
      <c r="N88" s="4" t="s">
        <v>162</v>
      </c>
      <c r="P88" s="6">
        <v>46134.346365740741</v>
      </c>
      <c r="Q88" s="4" t="s">
        <v>28</v>
      </c>
      <c r="R88" s="4" t="s">
        <v>163</v>
      </c>
      <c r="S88" s="7" t="s">
        <v>29</v>
      </c>
      <c r="T88" s="7" t="s">
        <v>435</v>
      </c>
    </row>
    <row r="89" spans="1:22" s="4" customFormat="1" ht="68" customHeight="1" x14ac:dyDescent="0.2">
      <c r="A89" s="3" t="s">
        <v>436</v>
      </c>
      <c r="B89" s="3" t="s">
        <v>437</v>
      </c>
      <c r="C89" s="4" t="s">
        <v>438</v>
      </c>
      <c r="D89" s="4" t="s">
        <v>439</v>
      </c>
      <c r="E89" s="4" t="str">
        <f>"LBS-LE-6671094142"</f>
        <v>LBS-LE-6671094142</v>
      </c>
      <c r="F89" s="5">
        <v>46134</v>
      </c>
      <c r="H89" s="4" t="s">
        <v>26</v>
      </c>
      <c r="N89" s="4" t="s">
        <v>162</v>
      </c>
      <c r="P89" s="6">
        <v>46134.347361111111</v>
      </c>
      <c r="Q89" s="4" t="s">
        <v>28</v>
      </c>
      <c r="R89" s="4" t="s">
        <v>163</v>
      </c>
      <c r="S89" s="7" t="s">
        <v>29</v>
      </c>
      <c r="T89" s="7" t="s">
        <v>440</v>
      </c>
    </row>
    <row r="90" spans="1:22" s="4" customFormat="1" ht="68" customHeight="1" x14ac:dyDescent="0.2">
      <c r="A90" s="3" t="s">
        <v>441</v>
      </c>
      <c r="B90" s="3" t="s">
        <v>442</v>
      </c>
      <c r="C90" s="4" t="s">
        <v>443</v>
      </c>
      <c r="D90" s="4" t="s">
        <v>444</v>
      </c>
      <c r="E90" s="4" t="str">
        <f>"LBS-LE-6102061451"</f>
        <v>LBS-LE-6102061451</v>
      </c>
      <c r="F90" s="5">
        <v>46134</v>
      </c>
      <c r="H90" s="4" t="s">
        <v>26</v>
      </c>
      <c r="N90" s="4" t="s">
        <v>162</v>
      </c>
      <c r="P90" s="6">
        <v>46134.348391203697</v>
      </c>
      <c r="Q90" s="4" t="s">
        <v>28</v>
      </c>
      <c r="R90" s="4" t="s">
        <v>163</v>
      </c>
      <c r="S90" s="7" t="s">
        <v>29</v>
      </c>
      <c r="T90" s="7" t="s">
        <v>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Лист1!Diadoc_22.04.26_07.02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2026-04-22T07:02:20Z</dcterms:created>
  <dcterms:modified xsi:type="dcterms:W3CDTF">2026-04-22T09:05:11Z</dcterms:modified>
</cp:coreProperties>
</file>